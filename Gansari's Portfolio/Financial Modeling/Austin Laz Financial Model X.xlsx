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Portfolio (Finance)\Financial Modeling\"/>
    </mc:Choice>
  </mc:AlternateContent>
  <bookViews>
    <workbookView xWindow="0" yWindow="0" windowWidth="14775" windowHeight="6765" firstSheet="3" activeTab="7"/>
  </bookViews>
  <sheets>
    <sheet name="Cover Page " sheetId="1" r:id="rId1"/>
    <sheet name="Model Guide" sheetId="2" r:id="rId2"/>
    <sheet name="Historical Data" sheetId="3" r:id="rId3"/>
    <sheet name="Assumptions and Drivers" sheetId="4" r:id="rId4"/>
    <sheet name="IS" sheetId="5" r:id="rId5"/>
    <sheet name="SOFP" sheetId="6" r:id="rId6"/>
    <sheet name="SOCF" sheetId="7" r:id="rId7"/>
    <sheet name="Charts and Graphs " sheetId="8" r:id="rId8"/>
    <sheet name="Financial Analysis" sheetId="9" r:id="rId9"/>
    <sheet name="Valuation" sheetId="10" r:id="rId10"/>
    <sheet name="Personal Notes" sheetId="13" state="hidden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9" i="9" l="1"/>
  <c r="O40" i="9"/>
  <c r="O41" i="9"/>
  <c r="N17" i="5"/>
  <c r="K64" i="10"/>
  <c r="K63" i="10"/>
  <c r="T52" i="10"/>
  <c r="U52" i="10"/>
  <c r="V52" i="10"/>
  <c r="S52" i="10"/>
  <c r="R52" i="10"/>
  <c r="S43" i="10"/>
  <c r="T43" i="10"/>
  <c r="U43" i="10"/>
  <c r="V43" i="10"/>
  <c r="S45" i="10"/>
  <c r="T45" i="10"/>
  <c r="S47" i="10"/>
  <c r="T47" i="10"/>
  <c r="R47" i="10"/>
  <c r="R45" i="10"/>
  <c r="R43" i="10"/>
  <c r="K34" i="10"/>
  <c r="K32" i="10"/>
  <c r="K31" i="10"/>
  <c r="K28" i="10"/>
  <c r="K23" i="10"/>
  <c r="N29" i="7" l="1"/>
  <c r="N30" i="7"/>
  <c r="N33" i="7" s="1"/>
  <c r="N31" i="7"/>
  <c r="N32" i="7"/>
  <c r="O29" i="7"/>
  <c r="N38" i="7"/>
  <c r="M40" i="7"/>
  <c r="R32" i="7"/>
  <c r="P29" i="7"/>
  <c r="Q29" i="7"/>
  <c r="R29" i="7"/>
  <c r="P30" i="7"/>
  <c r="Q30" i="7"/>
  <c r="R30" i="7"/>
  <c r="P32" i="7"/>
  <c r="Q32" i="7"/>
  <c r="O30" i="7"/>
  <c r="O32" i="7"/>
  <c r="M83" i="4"/>
  <c r="L83" i="4"/>
  <c r="K83" i="4"/>
  <c r="J83" i="4"/>
  <c r="I83" i="4"/>
  <c r="M82" i="4"/>
  <c r="L82" i="4"/>
  <c r="K82" i="4"/>
  <c r="J82" i="4"/>
  <c r="I82" i="4"/>
  <c r="M81" i="4"/>
  <c r="L81" i="4"/>
  <c r="L84" i="4" s="1"/>
  <c r="K81" i="4"/>
  <c r="K84" i="4" s="1"/>
  <c r="J81" i="4"/>
  <c r="J84" i="4" s="1"/>
  <c r="I81" i="4"/>
  <c r="M77" i="4"/>
  <c r="L77" i="4"/>
  <c r="K77" i="4"/>
  <c r="J77" i="4"/>
  <c r="I77" i="4"/>
  <c r="M76" i="4"/>
  <c r="M78" i="4" s="1"/>
  <c r="L76" i="4"/>
  <c r="L78" i="4" s="1"/>
  <c r="K76" i="4"/>
  <c r="K78" i="4" s="1"/>
  <c r="J76" i="4"/>
  <c r="J78" i="4" s="1"/>
  <c r="I76" i="4"/>
  <c r="I78" i="4" s="1"/>
  <c r="O20" i="7"/>
  <c r="P20" i="7"/>
  <c r="J41" i="4"/>
  <c r="K41" i="4"/>
  <c r="L41" i="4"/>
  <c r="M41" i="4"/>
  <c r="I41" i="4"/>
  <c r="J70" i="4"/>
  <c r="K70" i="4"/>
  <c r="Q70" i="4" s="1"/>
  <c r="L70" i="4"/>
  <c r="R70" i="4" s="1"/>
  <c r="M70" i="4"/>
  <c r="I70" i="4"/>
  <c r="O70" i="4" s="1"/>
  <c r="O21" i="5"/>
  <c r="Q21" i="5" s="1"/>
  <c r="P21" i="5"/>
  <c r="O30" i="5"/>
  <c r="P30" i="5"/>
  <c r="Q30" i="5"/>
  <c r="Q20" i="7" s="1"/>
  <c r="R30" i="5"/>
  <c r="R20" i="7" s="1"/>
  <c r="N21" i="5"/>
  <c r="J19" i="4"/>
  <c r="M68" i="4"/>
  <c r="N65" i="4" s="1"/>
  <c r="L85" i="4" l="1"/>
  <c r="P70" i="4"/>
  <c r="N70" i="4"/>
  <c r="I84" i="4"/>
  <c r="I85" i="4" s="1"/>
  <c r="M84" i="4"/>
  <c r="M85" i="4"/>
  <c r="J85" i="4"/>
  <c r="K85" i="4"/>
  <c r="L86" i="4" s="1"/>
  <c r="M86" i="4"/>
  <c r="R21" i="5"/>
  <c r="M37" i="4"/>
  <c r="N37" i="4" s="1"/>
  <c r="J34" i="4"/>
  <c r="O34" i="4" s="1"/>
  <c r="O34" i="6" s="1"/>
  <c r="K34" i="4"/>
  <c r="L34" i="4"/>
  <c r="M34" i="4"/>
  <c r="J35" i="4"/>
  <c r="K35" i="4"/>
  <c r="L35" i="4"/>
  <c r="M35" i="4"/>
  <c r="I35" i="4"/>
  <c r="N35" i="4" s="1"/>
  <c r="I34" i="4"/>
  <c r="N34" i="4" s="1"/>
  <c r="J39" i="4"/>
  <c r="K39" i="4"/>
  <c r="L39" i="4"/>
  <c r="M39" i="4"/>
  <c r="N39" i="4" s="1"/>
  <c r="J40" i="4"/>
  <c r="K40" i="4"/>
  <c r="L40" i="4"/>
  <c r="M40" i="4"/>
  <c r="N40" i="4" s="1"/>
  <c r="I40" i="4"/>
  <c r="I39" i="4"/>
  <c r="J37" i="4"/>
  <c r="K37" i="4"/>
  <c r="L37" i="4"/>
  <c r="I37" i="4"/>
  <c r="P32" i="4"/>
  <c r="P28" i="6" s="1"/>
  <c r="Q32" i="4"/>
  <c r="Q28" i="6" s="1"/>
  <c r="R32" i="4"/>
  <c r="R28" i="6" s="1"/>
  <c r="J31" i="4"/>
  <c r="K31" i="4"/>
  <c r="L31" i="4"/>
  <c r="M31" i="4"/>
  <c r="J32" i="4"/>
  <c r="K32" i="4"/>
  <c r="L32" i="4"/>
  <c r="M32" i="4"/>
  <c r="O32" i="4" s="1"/>
  <c r="O28" i="6" s="1"/>
  <c r="N56" i="4"/>
  <c r="M59" i="4"/>
  <c r="N28" i="4"/>
  <c r="N22" i="6" s="1"/>
  <c r="N76" i="4" s="1"/>
  <c r="O23" i="9"/>
  <c r="O22" i="9"/>
  <c r="O21" i="9"/>
  <c r="O20" i="9"/>
  <c r="O19" i="9"/>
  <c r="P41" i="9"/>
  <c r="Q41" i="9" s="1"/>
  <c r="L39" i="9"/>
  <c r="Q39" i="9" s="1"/>
  <c r="P40" i="9"/>
  <c r="Q40" i="9"/>
  <c r="R40" i="9"/>
  <c r="S40" i="9"/>
  <c r="O35" i="9"/>
  <c r="P35" i="9"/>
  <c r="Q35" i="9"/>
  <c r="R35" i="9"/>
  <c r="S35" i="9"/>
  <c r="O36" i="9"/>
  <c r="P36" i="9"/>
  <c r="Q36" i="9"/>
  <c r="R36" i="9"/>
  <c r="S36" i="9"/>
  <c r="S34" i="9"/>
  <c r="R34" i="9"/>
  <c r="Q34" i="9"/>
  <c r="P34" i="9"/>
  <c r="O34" i="9"/>
  <c r="L31" i="9"/>
  <c r="M31" i="9"/>
  <c r="L30" i="9"/>
  <c r="M30" i="9"/>
  <c r="K31" i="9"/>
  <c r="K30" i="9"/>
  <c r="O28" i="9"/>
  <c r="P28" i="9"/>
  <c r="Q28" i="9"/>
  <c r="R28" i="9"/>
  <c r="S28" i="9"/>
  <c r="O29" i="9"/>
  <c r="P29" i="9"/>
  <c r="Q29" i="9"/>
  <c r="R29" i="9"/>
  <c r="S29" i="9"/>
  <c r="P27" i="9"/>
  <c r="Q27" i="9"/>
  <c r="R27" i="9"/>
  <c r="S27" i="9"/>
  <c r="O27" i="9"/>
  <c r="J29" i="4"/>
  <c r="K29" i="4"/>
  <c r="L29" i="4"/>
  <c r="M29" i="4"/>
  <c r="I32" i="4"/>
  <c r="I31" i="4"/>
  <c r="I29" i="4"/>
  <c r="K34" i="9"/>
  <c r="L34" i="9"/>
  <c r="M34" i="9"/>
  <c r="N34" i="9"/>
  <c r="K35" i="9"/>
  <c r="L35" i="9"/>
  <c r="M35" i="9"/>
  <c r="N35" i="9"/>
  <c r="K36" i="9"/>
  <c r="L36" i="9"/>
  <c r="M36" i="9"/>
  <c r="N36" i="9"/>
  <c r="R41" i="9" l="1"/>
  <c r="S41" i="9"/>
  <c r="O81" i="4"/>
  <c r="N35" i="6"/>
  <c r="N82" i="4" s="1"/>
  <c r="O35" i="4"/>
  <c r="O35" i="6" s="1"/>
  <c r="O82" i="4" s="1"/>
  <c r="N39" i="6"/>
  <c r="N40" i="6" s="1"/>
  <c r="O37" i="4"/>
  <c r="N78" i="4"/>
  <c r="N45" i="6"/>
  <c r="O40" i="4"/>
  <c r="N44" i="6"/>
  <c r="O39" i="4"/>
  <c r="N34" i="6"/>
  <c r="P35" i="4"/>
  <c r="P35" i="6" s="1"/>
  <c r="P82" i="4" s="1"/>
  <c r="P34" i="4"/>
  <c r="P34" i="6" s="1"/>
  <c r="O28" i="4"/>
  <c r="N58" i="4"/>
  <c r="N29" i="4"/>
  <c r="N23" i="6" s="1"/>
  <c r="N77" i="4" s="1"/>
  <c r="N32" i="4"/>
  <c r="N28" i="6" s="1"/>
  <c r="I86" i="4"/>
  <c r="J86" i="4"/>
  <c r="K86" i="4"/>
  <c r="O29" i="4"/>
  <c r="R39" i="9"/>
  <c r="S39" i="9"/>
  <c r="P39" i="9"/>
  <c r="K39" i="9"/>
  <c r="M39" i="9"/>
  <c r="N39" i="9"/>
  <c r="K40" i="9"/>
  <c r="L40" i="9"/>
  <c r="M40" i="9"/>
  <c r="N40" i="9"/>
  <c r="K41" i="9"/>
  <c r="L41" i="9"/>
  <c r="M41" i="9"/>
  <c r="N41" i="9"/>
  <c r="J36" i="9"/>
  <c r="J35" i="9"/>
  <c r="J34" i="9"/>
  <c r="J41" i="9"/>
  <c r="J40" i="9"/>
  <c r="J39" i="9"/>
  <c r="J31" i="9"/>
  <c r="J30" i="9"/>
  <c r="J29" i="9"/>
  <c r="J28" i="9"/>
  <c r="J27" i="9"/>
  <c r="J21" i="9"/>
  <c r="J20" i="9"/>
  <c r="J19" i="9"/>
  <c r="N30" i="5"/>
  <c r="N20" i="7" s="1"/>
  <c r="O17" i="5"/>
  <c r="P81" i="4" l="1"/>
  <c r="P36" i="6"/>
  <c r="N81" i="4"/>
  <c r="N36" i="6"/>
  <c r="P29" i="4"/>
  <c r="P23" i="6" s="1"/>
  <c r="P77" i="4" s="1"/>
  <c r="O23" i="6"/>
  <c r="O77" i="4" s="1"/>
  <c r="O45" i="6"/>
  <c r="P40" i="4"/>
  <c r="P28" i="4"/>
  <c r="P22" i="6" s="1"/>
  <c r="O22" i="6"/>
  <c r="O44" i="6"/>
  <c r="P39" i="4"/>
  <c r="N24" i="5"/>
  <c r="N18" i="7" s="1"/>
  <c r="N57" i="4"/>
  <c r="Q34" i="4"/>
  <c r="O39" i="6"/>
  <c r="O40" i="6" s="1"/>
  <c r="P37" i="4"/>
  <c r="Q35" i="4"/>
  <c r="O36" i="6"/>
  <c r="Q29" i="4"/>
  <c r="P20" i="9"/>
  <c r="Q20" i="9" s="1"/>
  <c r="R20" i="9" s="1"/>
  <c r="J22" i="9"/>
  <c r="P21" i="9"/>
  <c r="P17" i="5"/>
  <c r="P18" i="5" s="1"/>
  <c r="P19" i="5" s="1"/>
  <c r="P22" i="5" s="1"/>
  <c r="O18" i="5"/>
  <c r="O19" i="5" s="1"/>
  <c r="O22" i="5" s="1"/>
  <c r="N18" i="5"/>
  <c r="N19" i="5" s="1"/>
  <c r="N22" i="5" s="1"/>
  <c r="N25" i="5" s="1"/>
  <c r="R42" i="10" s="1"/>
  <c r="R44" i="10" s="1"/>
  <c r="J21" i="4"/>
  <c r="K21" i="4"/>
  <c r="L21" i="4"/>
  <c r="I21" i="4"/>
  <c r="M18" i="4"/>
  <c r="L18" i="4"/>
  <c r="K18" i="4"/>
  <c r="J17" i="4"/>
  <c r="I18" i="4"/>
  <c r="K17" i="4"/>
  <c r="L17" i="4"/>
  <c r="M17" i="4"/>
  <c r="K16" i="4"/>
  <c r="I17" i="4"/>
  <c r="L16" i="4"/>
  <c r="M16" i="4"/>
  <c r="J16" i="4"/>
  <c r="I22" i="6"/>
  <c r="I23" i="6"/>
  <c r="O83" i="4" l="1"/>
  <c r="O84" i="4" s="1"/>
  <c r="O41" i="6"/>
  <c r="P76" i="4"/>
  <c r="P78" i="4" s="1"/>
  <c r="Q35" i="6"/>
  <c r="Q82" i="4" s="1"/>
  <c r="R35" i="4"/>
  <c r="R35" i="6" s="1"/>
  <c r="R82" i="4" s="1"/>
  <c r="P44" i="6"/>
  <c r="Q39" i="4"/>
  <c r="P39" i="6"/>
  <c r="P40" i="6" s="1"/>
  <c r="P41" i="6" s="1"/>
  <c r="Q37" i="4"/>
  <c r="Q34" i="6"/>
  <c r="R34" i="4"/>
  <c r="R34" i="6" s="1"/>
  <c r="N25" i="7"/>
  <c r="N26" i="7" s="1"/>
  <c r="N59" i="4"/>
  <c r="P83" i="4"/>
  <c r="P84" i="4" s="1"/>
  <c r="R29" i="4"/>
  <c r="R23" i="6" s="1"/>
  <c r="R77" i="4" s="1"/>
  <c r="Q23" i="6"/>
  <c r="Q28" i="4"/>
  <c r="O76" i="4"/>
  <c r="O78" i="4" s="1"/>
  <c r="O85" i="4" s="1"/>
  <c r="P45" i="6"/>
  <c r="Q40" i="4"/>
  <c r="N83" i="4"/>
  <c r="N84" i="4" s="1"/>
  <c r="N85" i="4" s="1"/>
  <c r="N41" i="6"/>
  <c r="N27" i="5"/>
  <c r="N19" i="7" s="1"/>
  <c r="N17" i="7"/>
  <c r="Q21" i="9"/>
  <c r="R21" i="9" s="1"/>
  <c r="S20" i="9"/>
  <c r="P19" i="9"/>
  <c r="J23" i="9"/>
  <c r="Q17" i="5"/>
  <c r="L28" i="5"/>
  <c r="L19" i="5"/>
  <c r="J31" i="5"/>
  <c r="J28" i="5"/>
  <c r="J19" i="5"/>
  <c r="L21" i="6"/>
  <c r="M21" i="6"/>
  <c r="L22" i="6"/>
  <c r="M22" i="6"/>
  <c r="L23" i="6"/>
  <c r="M23" i="6"/>
  <c r="L27" i="6"/>
  <c r="L19" i="4" s="1"/>
  <c r="M27" i="6"/>
  <c r="M19" i="4" s="1"/>
  <c r="O19" i="4" s="1"/>
  <c r="L28" i="6"/>
  <c r="M28" i="6"/>
  <c r="M29" i="6" s="1"/>
  <c r="L34" i="6"/>
  <c r="M34" i="6"/>
  <c r="L35" i="6"/>
  <c r="M35" i="6"/>
  <c r="M36" i="6" s="1"/>
  <c r="L39" i="6"/>
  <c r="M39" i="6"/>
  <c r="M20" i="4" s="1"/>
  <c r="M40" i="6"/>
  <c r="L44" i="6"/>
  <c r="M44" i="6"/>
  <c r="L45" i="6"/>
  <c r="M45" i="6"/>
  <c r="L46" i="6"/>
  <c r="M46" i="6"/>
  <c r="K21" i="6"/>
  <c r="K22" i="6"/>
  <c r="K23" i="6"/>
  <c r="K27" i="6"/>
  <c r="K19" i="4" s="1"/>
  <c r="P19" i="4" s="1"/>
  <c r="K28" i="6"/>
  <c r="K34" i="6"/>
  <c r="K35" i="6"/>
  <c r="K39" i="6"/>
  <c r="K44" i="6"/>
  <c r="K45" i="6"/>
  <c r="K46" i="6"/>
  <c r="J21" i="6"/>
  <c r="J22" i="6"/>
  <c r="J23" i="6"/>
  <c r="J27" i="6"/>
  <c r="J28" i="6"/>
  <c r="J34" i="6"/>
  <c r="J35" i="6"/>
  <c r="J36" i="6" s="1"/>
  <c r="J39" i="6"/>
  <c r="J44" i="6"/>
  <c r="J45" i="6"/>
  <c r="J46" i="6"/>
  <c r="I46" i="6"/>
  <c r="I45" i="6"/>
  <c r="I44" i="6"/>
  <c r="I39" i="6"/>
  <c r="I35" i="6"/>
  <c r="I34" i="6"/>
  <c r="I28" i="6"/>
  <c r="I27" i="6"/>
  <c r="I21" i="6"/>
  <c r="K17" i="5"/>
  <c r="L17" i="5"/>
  <c r="M17" i="5"/>
  <c r="K18" i="5"/>
  <c r="L18" i="5"/>
  <c r="M18" i="5"/>
  <c r="K21" i="5"/>
  <c r="L21" i="5"/>
  <c r="M21" i="5"/>
  <c r="K24" i="5"/>
  <c r="L24" i="5"/>
  <c r="M24" i="5"/>
  <c r="K27" i="5"/>
  <c r="L27" i="5"/>
  <c r="M27" i="5"/>
  <c r="K30" i="5"/>
  <c r="L30" i="5"/>
  <c r="M30" i="5"/>
  <c r="J30" i="5"/>
  <c r="J27" i="5"/>
  <c r="J24" i="5"/>
  <c r="J21" i="5"/>
  <c r="J18" i="5"/>
  <c r="J17" i="5"/>
  <c r="I21" i="5"/>
  <c r="I18" i="5"/>
  <c r="I17" i="5"/>
  <c r="I19" i="5" s="1"/>
  <c r="I24" i="5"/>
  <c r="I30" i="5"/>
  <c r="I27" i="5"/>
  <c r="N31" i="4" l="1"/>
  <c r="N27" i="6" s="1"/>
  <c r="N29" i="6" s="1"/>
  <c r="O56" i="4"/>
  <c r="O86" i="4"/>
  <c r="N86" i="4"/>
  <c r="P86" i="4"/>
  <c r="Q39" i="6"/>
  <c r="Q40" i="6" s="1"/>
  <c r="R37" i="4"/>
  <c r="R39" i="6" s="1"/>
  <c r="R40" i="6" s="1"/>
  <c r="P85" i="4"/>
  <c r="Q44" i="6"/>
  <c r="R39" i="4"/>
  <c r="R44" i="6" s="1"/>
  <c r="R28" i="4"/>
  <c r="R22" i="6" s="1"/>
  <c r="Q22" i="6"/>
  <c r="Q76" i="4" s="1"/>
  <c r="R81" i="4"/>
  <c r="R36" i="6"/>
  <c r="Q45" i="6"/>
  <c r="R40" i="4"/>
  <c r="R45" i="6" s="1"/>
  <c r="Q77" i="4"/>
  <c r="Q78" i="4" s="1"/>
  <c r="Q81" i="4"/>
  <c r="Q36" i="6"/>
  <c r="Q19" i="9"/>
  <c r="R19" i="9" s="1"/>
  <c r="S19" i="9" s="1"/>
  <c r="S21" i="9"/>
  <c r="P23" i="9"/>
  <c r="Q23" i="9" s="1"/>
  <c r="R23" i="9" s="1"/>
  <c r="S23" i="9" s="1"/>
  <c r="P22" i="9"/>
  <c r="Q22" i="9" s="1"/>
  <c r="R17" i="5"/>
  <c r="Q18" i="5"/>
  <c r="Q19" i="5" s="1"/>
  <c r="Q22" i="5" s="1"/>
  <c r="I40" i="6"/>
  <c r="I20" i="4"/>
  <c r="I29" i="6"/>
  <c r="I19" i="4"/>
  <c r="R19" i="4" s="1"/>
  <c r="K40" i="6"/>
  <c r="K20" i="4"/>
  <c r="L40" i="6"/>
  <c r="L20" i="4"/>
  <c r="J40" i="6"/>
  <c r="J41" i="6" s="1"/>
  <c r="J48" i="6" s="1"/>
  <c r="J20" i="4"/>
  <c r="L47" i="6"/>
  <c r="K47" i="6"/>
  <c r="K24" i="6"/>
  <c r="L24" i="6"/>
  <c r="K36" i="6"/>
  <c r="I47" i="6"/>
  <c r="J29" i="6"/>
  <c r="J24" i="6"/>
  <c r="J30" i="6" s="1"/>
  <c r="K29" i="6"/>
  <c r="J47" i="6"/>
  <c r="L36" i="6"/>
  <c r="L41" i="6" s="1"/>
  <c r="L48" i="6" s="1"/>
  <c r="M41" i="6"/>
  <c r="M47" i="6"/>
  <c r="L29" i="6"/>
  <c r="M24" i="6"/>
  <c r="M30" i="6" s="1"/>
  <c r="I36" i="6"/>
  <c r="I24" i="6"/>
  <c r="I30" i="6" s="1"/>
  <c r="I22" i="5"/>
  <c r="J22" i="5"/>
  <c r="J25" i="5" s="1"/>
  <c r="L22" i="5"/>
  <c r="L25" i="5" s="1"/>
  <c r="L31" i="5" s="1"/>
  <c r="M19" i="5"/>
  <c r="M22" i="5" s="1"/>
  <c r="M25" i="5" s="1"/>
  <c r="I25" i="5"/>
  <c r="I28" i="5" s="1"/>
  <c r="I31" i="5" s="1"/>
  <c r="K19" i="5"/>
  <c r="K22" i="5" s="1"/>
  <c r="K25" i="5" s="1"/>
  <c r="K28" i="5" s="1"/>
  <c r="K31" i="5" s="1"/>
  <c r="P21" i="7" l="1"/>
  <c r="T46" i="10"/>
  <c r="N21" i="7"/>
  <c r="N22" i="7" s="1"/>
  <c r="N35" i="7" s="1"/>
  <c r="N39" i="7" s="1"/>
  <c r="N40" i="7" s="1"/>
  <c r="R46" i="10"/>
  <c r="R48" i="10" s="1"/>
  <c r="R53" i="10" s="1"/>
  <c r="O21" i="7"/>
  <c r="S46" i="10"/>
  <c r="N21" i="6"/>
  <c r="N24" i="6" s="1"/>
  <c r="N30" i="6" s="1"/>
  <c r="O38" i="7"/>
  <c r="R76" i="4"/>
  <c r="R78" i="4" s="1"/>
  <c r="Q83" i="4"/>
  <c r="Q84" i="4" s="1"/>
  <c r="Q85" i="4" s="1"/>
  <c r="Q41" i="6"/>
  <c r="R83" i="4"/>
  <c r="R41" i="6"/>
  <c r="O58" i="4"/>
  <c r="R84" i="4"/>
  <c r="M28" i="5"/>
  <c r="M21" i="4" s="1"/>
  <c r="N30" i="9"/>
  <c r="R22" i="9"/>
  <c r="S22" i="9" s="1"/>
  <c r="M31" i="5"/>
  <c r="N31" i="9" s="1"/>
  <c r="R18" i="5"/>
  <c r="R19" i="5" s="1"/>
  <c r="R22" i="5" s="1"/>
  <c r="J3" i="6"/>
  <c r="J4" i="6"/>
  <c r="I41" i="6"/>
  <c r="I48" i="6" s="1"/>
  <c r="K41" i="6"/>
  <c r="L30" i="6"/>
  <c r="L4" i="6" s="1"/>
  <c r="K48" i="6"/>
  <c r="M48" i="6"/>
  <c r="M4" i="6" s="1"/>
  <c r="K30" i="6"/>
  <c r="Q86" i="4" l="1"/>
  <c r="R86" i="4"/>
  <c r="O24" i="5"/>
  <c r="O57" i="4"/>
  <c r="R85" i="4"/>
  <c r="S30" i="9"/>
  <c r="Q30" i="9"/>
  <c r="R30" i="9"/>
  <c r="O30" i="9"/>
  <c r="P30" i="9"/>
  <c r="R31" i="9"/>
  <c r="Q31" i="9"/>
  <c r="O31" i="9"/>
  <c r="S31" i="9"/>
  <c r="P31" i="9"/>
  <c r="I3" i="6"/>
  <c r="I4" i="6"/>
  <c r="K3" i="6"/>
  <c r="K4" i="6"/>
  <c r="M3" i="6"/>
  <c r="L3" i="6"/>
  <c r="N28" i="5"/>
  <c r="N31" i="5" s="1"/>
  <c r="N66" i="4" s="1"/>
  <c r="R21" i="7" l="1"/>
  <c r="V46" i="10"/>
  <c r="Q21" i="7"/>
  <c r="U46" i="10"/>
  <c r="O25" i="7"/>
  <c r="O26" i="7" s="1"/>
  <c r="O59" i="4"/>
  <c r="O18" i="7"/>
  <c r="O25" i="5"/>
  <c r="S42" i="10" s="1"/>
  <c r="S44" i="10" s="1"/>
  <c r="S48" i="10" s="1"/>
  <c r="S53" i="10" s="1"/>
  <c r="N67" i="4"/>
  <c r="N68" i="4" l="1"/>
  <c r="O65" i="4" s="1"/>
  <c r="O31" i="7"/>
  <c r="O33" i="7" s="1"/>
  <c r="P56" i="4"/>
  <c r="O31" i="4"/>
  <c r="O27" i="6" s="1"/>
  <c r="O29" i="6" s="1"/>
  <c r="O17" i="7"/>
  <c r="O27" i="5"/>
  <c r="O19" i="7" s="1"/>
  <c r="N41" i="4" l="1"/>
  <c r="N46" i="6" s="1"/>
  <c r="N47" i="6" s="1"/>
  <c r="N48" i="6" s="1"/>
  <c r="N3" i="6" s="1"/>
  <c r="O35" i="7"/>
  <c r="O39" i="7" s="1"/>
  <c r="O40" i="7" s="1"/>
  <c r="P58" i="4"/>
  <c r="O28" i="5"/>
  <c r="O31" i="5" s="1"/>
  <c r="O66" i="4" s="1"/>
  <c r="O67" i="4" s="1"/>
  <c r="P31" i="7" s="1"/>
  <c r="P33" i="7" s="1"/>
  <c r="O22" i="7"/>
  <c r="N4" i="6"/>
  <c r="P38" i="7" l="1"/>
  <c r="O21" i="6"/>
  <c r="O24" i="6" s="1"/>
  <c r="O30" i="6" s="1"/>
  <c r="O68" i="4"/>
  <c r="P57" i="4"/>
  <c r="P24" i="5"/>
  <c r="O41" i="4" l="1"/>
  <c r="O46" i="6" s="1"/>
  <c r="O47" i="6" s="1"/>
  <c r="O48" i="6" s="1"/>
  <c r="P65" i="4"/>
  <c r="P18" i="7"/>
  <c r="P25" i="5"/>
  <c r="T42" i="10" s="1"/>
  <c r="T44" i="10" s="1"/>
  <c r="T48" i="10" s="1"/>
  <c r="T53" i="10" s="1"/>
  <c r="P25" i="7"/>
  <c r="P26" i="7" s="1"/>
  <c r="P59" i="4"/>
  <c r="P17" i="7" l="1"/>
  <c r="P27" i="5"/>
  <c r="Q56" i="4"/>
  <c r="P31" i="4"/>
  <c r="P27" i="6" s="1"/>
  <c r="P29" i="6" s="1"/>
  <c r="O4" i="6"/>
  <c r="O3" i="6"/>
  <c r="P28" i="5" l="1"/>
  <c r="P31" i="5" s="1"/>
  <c r="P66" i="4" s="1"/>
  <c r="P19" i="7"/>
  <c r="P22" i="7" s="1"/>
  <c r="P35" i="7" s="1"/>
  <c r="P39" i="7" s="1"/>
  <c r="P40" i="7" s="1"/>
  <c r="Q38" i="7" l="1"/>
  <c r="P21" i="6"/>
  <c r="P24" i="6" s="1"/>
  <c r="P30" i="6" s="1"/>
  <c r="P67" i="4"/>
  <c r="Q31" i="7" s="1"/>
  <c r="Q33" i="7" s="1"/>
  <c r="P68" i="4"/>
  <c r="P41" i="4" l="1"/>
  <c r="P46" i="6" s="1"/>
  <c r="P47" i="6" s="1"/>
  <c r="P48" i="6" s="1"/>
  <c r="Q65" i="4"/>
  <c r="P4" i="6" l="1"/>
  <c r="P3" i="6"/>
  <c r="R3" i="6" l="1"/>
  <c r="R4" i="6"/>
  <c r="R67" i="4"/>
  <c r="V47" i="10"/>
  <c r="R26" i="7"/>
  <c r="V53" i="10"/>
  <c r="Q19" i="7"/>
  <c r="R39" i="7"/>
  <c r="U45" i="10"/>
  <c r="R66" i="4"/>
  <c r="Q27" i="5"/>
  <c r="K58" i="10"/>
  <c r="Q17" i="7"/>
  <c r="Q22" i="7"/>
  <c r="R17" i="7"/>
  <c r="R22" i="7"/>
  <c r="R29" i="6"/>
  <c r="R27" i="5"/>
  <c r="R19" i="7"/>
  <c r="V48" i="10"/>
  <c r="K62" i="10"/>
  <c r="K65" i="10"/>
  <c r="K66" i="10"/>
  <c r="R48" i="6"/>
  <c r="R21" i="6"/>
  <c r="R24" i="6"/>
  <c r="R30" i="6"/>
  <c r="U47" i="10"/>
  <c r="Q3" i="6"/>
  <c r="Q4" i="6"/>
  <c r="Q30" i="6"/>
  <c r="R18" i="7"/>
  <c r="V45" i="10"/>
  <c r="R57" i="4"/>
  <c r="R25" i="7"/>
  <c r="R27" i="6"/>
  <c r="Q21" i="6"/>
  <c r="Q24" i="6"/>
  <c r="R59" i="4"/>
  <c r="R31" i="4"/>
  <c r="Q18" i="7"/>
  <c r="Q47" i="6"/>
  <c r="Q48" i="6"/>
  <c r="R65" i="4"/>
  <c r="R68" i="4"/>
  <c r="R41" i="4"/>
  <c r="R46" i="6"/>
  <c r="R47" i="6"/>
  <c r="Q31" i="4"/>
  <c r="Q27" i="6"/>
  <c r="Q29" i="6"/>
  <c r="R35" i="7"/>
  <c r="R28" i="5"/>
  <c r="R31" i="5"/>
  <c r="Q59" i="4"/>
  <c r="R56" i="4"/>
  <c r="R58" i="4"/>
  <c r="R24" i="5"/>
  <c r="R25" i="5"/>
  <c r="V42" i="10"/>
  <c r="V44" i="10"/>
  <c r="Q67" i="4"/>
  <c r="R31" i="7"/>
  <c r="R33" i="7"/>
  <c r="U42" i="10"/>
  <c r="U44" i="10"/>
  <c r="U48" i="10"/>
  <c r="U53" i="10"/>
  <c r="Q57" i="4"/>
  <c r="Q25" i="7"/>
  <c r="Q26" i="7"/>
  <c r="Q35" i="7"/>
  <c r="Q39" i="7"/>
  <c r="Q40" i="7"/>
  <c r="R38" i="7"/>
  <c r="R40" i="7"/>
  <c r="Q19" i="4"/>
  <c r="Q58" i="4"/>
  <c r="Q24" i="5"/>
  <c r="Q25" i="5"/>
  <c r="Q28" i="5"/>
  <c r="Q31" i="5"/>
  <c r="Q66" i="4"/>
  <c r="Q68" i="4"/>
  <c r="Q41" i="4"/>
  <c r="Q46" i="6"/>
</calcChain>
</file>

<file path=xl/sharedStrings.xml><?xml version="1.0" encoding="utf-8"?>
<sst xmlns="http://schemas.openxmlformats.org/spreadsheetml/2006/main" count="366" uniqueCount="230">
  <si>
    <t xml:space="preserve"> </t>
  </si>
  <si>
    <t>Austin Laz</t>
  </si>
  <si>
    <t>Financial Model</t>
  </si>
  <si>
    <t xml:space="preserve">Financial Modeler </t>
  </si>
  <si>
    <t>Gansari Williams Bioyari</t>
  </si>
  <si>
    <t xml:space="preserve">Model Guide </t>
  </si>
  <si>
    <t>General Information</t>
  </si>
  <si>
    <t>This section contains information about Austin Laz Plc</t>
  </si>
  <si>
    <t>Company Information</t>
  </si>
  <si>
    <t>Company Name</t>
  </si>
  <si>
    <t xml:space="preserve">Company Sector </t>
  </si>
  <si>
    <t xml:space="preserve">Purpose of Model </t>
  </si>
  <si>
    <t xml:space="preserve">Industrial Goods </t>
  </si>
  <si>
    <t>Equity Research</t>
  </si>
  <si>
    <t xml:space="preserve">Model Information </t>
  </si>
  <si>
    <t xml:space="preserve">Model Owner </t>
  </si>
  <si>
    <t xml:space="preserve">Currency </t>
  </si>
  <si>
    <t xml:space="preserve">Model Name </t>
  </si>
  <si>
    <t xml:space="preserve">Elite Ways </t>
  </si>
  <si>
    <t>₦</t>
  </si>
  <si>
    <t xml:space="preserve">Model Structure and Navigation </t>
  </si>
  <si>
    <t xml:space="preserve">Beginning Historical Period </t>
  </si>
  <si>
    <t xml:space="preserve">Ending Historical Period </t>
  </si>
  <si>
    <t xml:space="preserve">Forcast Year </t>
  </si>
  <si>
    <t xml:space="preserve">Months in the period </t>
  </si>
  <si>
    <t>Last Historical Year</t>
  </si>
  <si>
    <t>Last Forcast Year</t>
  </si>
  <si>
    <t xml:space="preserve">Model Structure </t>
  </si>
  <si>
    <t>This section contains the model timing and structure</t>
  </si>
  <si>
    <t xml:space="preserve">Model Timing </t>
  </si>
  <si>
    <t>Cover Page</t>
  </si>
  <si>
    <t>Historical Data</t>
  </si>
  <si>
    <t xml:space="preserve">Assumptions and Drivers </t>
  </si>
  <si>
    <t xml:space="preserve">Income Statement </t>
  </si>
  <si>
    <t xml:space="preserve">Balance Sheet </t>
  </si>
  <si>
    <t xml:space="preserve">Cashflow Statement </t>
  </si>
  <si>
    <t xml:space="preserve">Charts and Graphs </t>
  </si>
  <si>
    <t>Financial Analysis</t>
  </si>
  <si>
    <t xml:space="preserve">Valuation </t>
  </si>
  <si>
    <t>AUSTIN LAZ</t>
  </si>
  <si>
    <t>Start Date</t>
  </si>
  <si>
    <t xml:space="preserve">End Date </t>
  </si>
  <si>
    <t>Years</t>
  </si>
  <si>
    <t>Number of Days</t>
  </si>
  <si>
    <t>Description</t>
  </si>
  <si>
    <t>Unit</t>
  </si>
  <si>
    <t>INCOME STATEMENT</t>
  </si>
  <si>
    <t>MODEL GUIDE</t>
  </si>
  <si>
    <t>5 years</t>
  </si>
  <si>
    <t>Revenue</t>
  </si>
  <si>
    <t>Cost of Sales</t>
  </si>
  <si>
    <t>Gross Profit/(Loss)</t>
  </si>
  <si>
    <t>Administration Expenses</t>
  </si>
  <si>
    <t>Distribution Expenses</t>
  </si>
  <si>
    <t>Finance Cost</t>
  </si>
  <si>
    <t>Profit before Tax</t>
  </si>
  <si>
    <t>Tax Provision</t>
  </si>
  <si>
    <t>Profit after Tax</t>
  </si>
  <si>
    <t>DISCONTINUED OPERATION</t>
  </si>
  <si>
    <t>Gain/(Loss) on discontinued operation net of tax</t>
  </si>
  <si>
    <t>Net Profit for the Period</t>
  </si>
  <si>
    <t>OTHER COMPREHENSIVE INCOME NET OF TAX</t>
  </si>
  <si>
    <t>Total Comprehensive income for the Period</t>
  </si>
  <si>
    <t>Earning Per Share</t>
  </si>
  <si>
    <t>Diluted Earning per Share</t>
  </si>
  <si>
    <t>N'000</t>
  </si>
  <si>
    <t>STATEMENT OF FINANCIAL POSTION</t>
  </si>
  <si>
    <t>ASSETS</t>
  </si>
  <si>
    <t>Non Current Assets</t>
  </si>
  <si>
    <t>Property, Plant &amp; Equipment</t>
  </si>
  <si>
    <t>Intangibles</t>
  </si>
  <si>
    <t>CURRENT ASSETS</t>
  </si>
  <si>
    <t>Inventories</t>
  </si>
  <si>
    <t>Trade receivables</t>
  </si>
  <si>
    <t>Cash and Cash Equivalent</t>
  </si>
  <si>
    <t>Total Assets</t>
  </si>
  <si>
    <t>EQUITY AND LIABILITIES:</t>
  </si>
  <si>
    <t>EQUITY</t>
  </si>
  <si>
    <t>Paid up Share Capital</t>
  </si>
  <si>
    <t>Capital Reserves</t>
  </si>
  <si>
    <t>Retained Earnings</t>
  </si>
  <si>
    <t>NON-CURRENT LIABILITIES:</t>
  </si>
  <si>
    <t>Long Term Borrowing</t>
  </si>
  <si>
    <t>CURRENT LIABILITIES</t>
  </si>
  <si>
    <t>Trade Payable</t>
  </si>
  <si>
    <t>Other Payable</t>
  </si>
  <si>
    <t>Total Equity and Liabilities</t>
  </si>
  <si>
    <t xml:space="preserve">Equity  to owners of Company </t>
  </si>
  <si>
    <t>SG&amp;A</t>
  </si>
  <si>
    <t>EBITDA</t>
  </si>
  <si>
    <t>Depreciation &amp; Ammortization</t>
  </si>
  <si>
    <t>EBIT</t>
  </si>
  <si>
    <t>Finance cost-net</t>
  </si>
  <si>
    <t>EBT</t>
  </si>
  <si>
    <t xml:space="preserve">Tax Expenses </t>
  </si>
  <si>
    <t xml:space="preserve">Net income </t>
  </si>
  <si>
    <t>Depreciation &amp;Ammortization</t>
  </si>
  <si>
    <t>STATEMENT OF FINANCIAL POSITION</t>
  </si>
  <si>
    <t>Current Asset</t>
  </si>
  <si>
    <t>Total current Asset</t>
  </si>
  <si>
    <t>PPE</t>
  </si>
  <si>
    <t>Intangible</t>
  </si>
  <si>
    <t>Total Non-current Asset</t>
  </si>
  <si>
    <t>Current Liability</t>
  </si>
  <si>
    <t xml:space="preserve">Trade payables </t>
  </si>
  <si>
    <t xml:space="preserve">Other payables </t>
  </si>
  <si>
    <t>Total Current Liability</t>
  </si>
  <si>
    <t>Non current Liability</t>
  </si>
  <si>
    <t xml:space="preserve">Long term borrowing </t>
  </si>
  <si>
    <t>Total Non-current Liability</t>
  </si>
  <si>
    <t>Total Liability</t>
  </si>
  <si>
    <t>Shareholders Equity</t>
  </si>
  <si>
    <t>Paid up share capital</t>
  </si>
  <si>
    <t xml:space="preserve">Capital Reserves </t>
  </si>
  <si>
    <t xml:space="preserve">Retained Earnings </t>
  </si>
  <si>
    <t>Total shareholders equity</t>
  </si>
  <si>
    <t xml:space="preserve">Total shareholders equity and Liabilities </t>
  </si>
  <si>
    <t xml:space="preserve">Short term borrowings </t>
  </si>
  <si>
    <t xml:space="preserve">Check </t>
  </si>
  <si>
    <t>Reconciliation Tool</t>
  </si>
  <si>
    <t>[y-o-y Growth]</t>
  </si>
  <si>
    <t>[% of Revenue]</t>
  </si>
  <si>
    <t>[% of PPE]</t>
  </si>
  <si>
    <t>[% of EBT]</t>
  </si>
  <si>
    <t>[% of Debt]</t>
  </si>
  <si>
    <t>Forcastin BS</t>
  </si>
  <si>
    <t xml:space="preserve">Statement of Financial Position </t>
  </si>
  <si>
    <t>Income Statement</t>
  </si>
  <si>
    <t>Efficiency Ratio</t>
  </si>
  <si>
    <t>Cash Conversion Ratio</t>
  </si>
  <si>
    <t xml:space="preserve">Operating Cycle </t>
  </si>
  <si>
    <t>Days of Sales Outstanding (DSO)</t>
  </si>
  <si>
    <t>Days of Inventory Outstanding (DIO)</t>
  </si>
  <si>
    <t>Days of Payables Outstanding (DPO)</t>
  </si>
  <si>
    <t>Profitability Ratio</t>
  </si>
  <si>
    <t>Gross Margin</t>
  </si>
  <si>
    <t>Operating Profit Margin</t>
  </si>
  <si>
    <t>Net Income Margin</t>
  </si>
  <si>
    <t>Return on Assets (ROA)</t>
  </si>
  <si>
    <t>Return on Equities (ROE)</t>
  </si>
  <si>
    <t>Liquidity Ratio</t>
  </si>
  <si>
    <t>Cash Ratio</t>
  </si>
  <si>
    <t>Quick Ratio</t>
  </si>
  <si>
    <t>Current Ratio</t>
  </si>
  <si>
    <t xml:space="preserve">Solvency Ratios </t>
  </si>
  <si>
    <t>Debt to Equities</t>
  </si>
  <si>
    <t>Debt to Capital Employed ratio</t>
  </si>
  <si>
    <t>Intrest Coverage Ratios</t>
  </si>
  <si>
    <t>[average of yrs]</t>
  </si>
  <si>
    <t xml:space="preserve">Supporting Schedule </t>
  </si>
  <si>
    <t>PPE Schedule</t>
  </si>
  <si>
    <t xml:space="preserve">Beginning Balance </t>
  </si>
  <si>
    <t>Add: Capex</t>
  </si>
  <si>
    <t>Less: Depreciation</t>
  </si>
  <si>
    <t xml:space="preserve">Incremental Capex </t>
  </si>
  <si>
    <t>Maintainable Caoex</t>
  </si>
  <si>
    <t>Ending Balance</t>
  </si>
  <si>
    <t>[ending balance]</t>
  </si>
  <si>
    <t>[Ending Balance]</t>
  </si>
  <si>
    <t>[Average of Years]</t>
  </si>
  <si>
    <t xml:space="preserve">Retained Earnings Schedule </t>
  </si>
  <si>
    <t xml:space="preserve">Add:Net income </t>
  </si>
  <si>
    <t>Less:Dividend paid</t>
  </si>
  <si>
    <t>Dividend Paid Ratio</t>
  </si>
  <si>
    <t>Dvidend paid</t>
  </si>
  <si>
    <t>Cash from Operating Activities</t>
  </si>
  <si>
    <t>EBIT/Operating Income</t>
  </si>
  <si>
    <t>Add:Depreciation</t>
  </si>
  <si>
    <t>Tax Expense</t>
  </si>
  <si>
    <t>Cash from operation</t>
  </si>
  <si>
    <t>Change in OWC</t>
  </si>
  <si>
    <t>Operating working Capital</t>
  </si>
  <si>
    <t>Asset</t>
  </si>
  <si>
    <t>Total Asset</t>
  </si>
  <si>
    <t xml:space="preserve">Liabilties </t>
  </si>
  <si>
    <t>OWC</t>
  </si>
  <si>
    <t>Changes in OWC</t>
  </si>
  <si>
    <t>Cash from investing</t>
  </si>
  <si>
    <t>Capex</t>
  </si>
  <si>
    <t>Cash from investing activities</t>
  </si>
  <si>
    <t xml:space="preserve">Cash from financing activities </t>
  </si>
  <si>
    <t xml:space="preserve">Changes in Capital Reserves </t>
  </si>
  <si>
    <t>Changes in Paid up share capital</t>
  </si>
  <si>
    <t>Dividend paid</t>
  </si>
  <si>
    <t>Loan repayment</t>
  </si>
  <si>
    <t>Cash from financing</t>
  </si>
  <si>
    <t>Cash during the period</t>
  </si>
  <si>
    <t>Cash schedule</t>
  </si>
  <si>
    <t xml:space="preserve">Beginning balance </t>
  </si>
  <si>
    <t xml:space="preserve">Cash during period </t>
  </si>
  <si>
    <t xml:space="preserve">Ending balance </t>
  </si>
  <si>
    <t>Profitability</t>
  </si>
  <si>
    <t>Efficiency</t>
  </si>
  <si>
    <t>Liquidity</t>
  </si>
  <si>
    <t>Solvency</t>
  </si>
  <si>
    <t>Valuation Date</t>
  </si>
  <si>
    <t>CAPM/Cost of equity</t>
  </si>
  <si>
    <t>Risk free rate</t>
  </si>
  <si>
    <t xml:space="preserve">Beta </t>
  </si>
  <si>
    <t>Equity Risk Premium</t>
  </si>
  <si>
    <t>Cost of Equity</t>
  </si>
  <si>
    <t>Cost of Debt</t>
  </si>
  <si>
    <t xml:space="preserve">Maximum Lending Rate </t>
  </si>
  <si>
    <t>Statutory Tax Rate</t>
  </si>
  <si>
    <t>Weight</t>
  </si>
  <si>
    <t>Equity (wd)</t>
  </si>
  <si>
    <t>Debt (wd)</t>
  </si>
  <si>
    <t>WACC</t>
  </si>
  <si>
    <t>[%]</t>
  </si>
  <si>
    <t>[Number]</t>
  </si>
  <si>
    <t>Terminal growth rate</t>
  </si>
  <si>
    <t>Shares Outstanding</t>
  </si>
  <si>
    <t xml:space="preserve">Current Share Price </t>
  </si>
  <si>
    <t>Market Capitalization</t>
  </si>
  <si>
    <t>DCF Valuation</t>
  </si>
  <si>
    <t xml:space="preserve">Less: Tax expense </t>
  </si>
  <si>
    <t>NOPAT</t>
  </si>
  <si>
    <t>Add: Changes in OWC</t>
  </si>
  <si>
    <t>Less: Capex</t>
  </si>
  <si>
    <t>FCFF</t>
  </si>
  <si>
    <t>Period Count</t>
  </si>
  <si>
    <t>Discount Factor</t>
  </si>
  <si>
    <t>Present Value</t>
  </si>
  <si>
    <t>NPV of FCFF</t>
  </si>
  <si>
    <t>Terminal Value</t>
  </si>
  <si>
    <t>Growth Rate</t>
  </si>
  <si>
    <t>NPV TV</t>
  </si>
  <si>
    <t>Value</t>
  </si>
  <si>
    <t>Because npv of fcff plus terminal value will give you vb</t>
  </si>
  <si>
    <t>terminal value is cf/r-g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</si>
</sst>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/dd/yy;@"/>
    <numFmt numFmtId="165" formatCode="0\ &quot;A&quot;"/>
    <numFmt numFmtId="166" formatCode="0\ &quot;Years&quot;"/>
    <numFmt numFmtId="167" formatCode="0\ &quot;F&quot;"/>
    <numFmt numFmtId="168" formatCode="0.00_);\(0.00\)"/>
    <numFmt numFmtId="169" formatCode="0\ &quot;Days&quot;"/>
    <numFmt numFmtId="170" formatCode="0.00\ &quot;X&quot;"/>
    <numFmt numFmtId="171" formatCode="#,##0.0"/>
    <numFmt numFmtId="172" formatCode="[$₦-468]\ #,##0.00;[Red]\-[$₦-468]\ #,##0.00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1"/>
      <color theme="6" tint="-0.249977111117893"/>
      <name val="Calibri"/>
      <family val="2"/>
      <scheme val="minor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1"/>
      <color theme="6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darkVertical">
        <bgColor theme="0" tint="-0.1498764000366222"/>
      </patternFill>
    </fill>
    <fill>
      <patternFill patternType="darkVertical">
        <bgColor theme="6" tint="0.39994506668294322"/>
      </patternFill>
    </fill>
  </fills>
  <borders count="5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double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17" fillId="0" borderId="0" applyFont="0" applyFill="0" applyBorder="0" applyAlignment="0" applyProtection="0"/>
  </cellStyleXfs>
  <cellXfs count="11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3" fillId="0" borderId="0" xfId="0" applyFont="1"/>
    <xf numFmtId="0" fontId="3" fillId="0" borderId="0" xfId="1" applyFont="1"/>
    <xf numFmtId="0" fontId="0" fillId="4" borderId="0" xfId="0" applyFill="1"/>
    <xf numFmtId="0" fontId="6" fillId="0" borderId="0" xfId="1" applyFont="1"/>
    <xf numFmtId="0" fontId="6" fillId="0" borderId="0" xfId="0" applyFont="1"/>
    <xf numFmtId="0" fontId="0" fillId="5" borderId="0" xfId="0" applyFill="1"/>
    <xf numFmtId="0" fontId="7" fillId="0" borderId="0" xfId="0" applyFont="1"/>
    <xf numFmtId="0" fontId="8" fillId="0" borderId="0" xfId="0" applyFont="1"/>
    <xf numFmtId="15" fontId="0" fillId="4" borderId="0" xfId="0" applyNumberFormat="1" applyFill="1"/>
    <xf numFmtId="164" fontId="0" fillId="2" borderId="0" xfId="0" applyNumberFormat="1" applyFill="1"/>
    <xf numFmtId="164" fontId="2" fillId="2" borderId="0" xfId="0" applyNumberFormat="1" applyFont="1" applyFill="1"/>
    <xf numFmtId="165" fontId="0" fillId="4" borderId="0" xfId="0" applyNumberFormat="1" applyFill="1"/>
    <xf numFmtId="166" fontId="0" fillId="2" borderId="0" xfId="0" applyNumberFormat="1" applyFill="1"/>
    <xf numFmtId="0" fontId="9" fillId="4" borderId="0" xfId="0" applyFont="1" applyFill="1"/>
    <xf numFmtId="15" fontId="0" fillId="5" borderId="0" xfId="0" applyNumberFormat="1" applyFill="1"/>
    <xf numFmtId="167" fontId="0" fillId="5" borderId="0" xfId="0" applyNumberFormat="1" applyFill="1"/>
    <xf numFmtId="0" fontId="10" fillId="0" borderId="0" xfId="0" applyFont="1"/>
    <xf numFmtId="37" fontId="0" fillId="0" borderId="0" xfId="0" applyNumberFormat="1"/>
    <xf numFmtId="0" fontId="0" fillId="0" borderId="0" xfId="0" applyFont="1"/>
    <xf numFmtId="3" fontId="1" fillId="0" borderId="0" xfId="0" applyNumberFormat="1" applyFont="1"/>
    <xf numFmtId="0" fontId="0" fillId="0" borderId="1" xfId="0" applyBorder="1"/>
    <xf numFmtId="37" fontId="1" fillId="0" borderId="0" xfId="0" applyNumberFormat="1" applyFont="1"/>
    <xf numFmtId="37" fontId="1" fillId="0" borderId="1" xfId="0" applyNumberFormat="1" applyFont="1" applyBorder="1"/>
    <xf numFmtId="37" fontId="0" fillId="0" borderId="1" xfId="0" applyNumberFormat="1" applyBorder="1"/>
    <xf numFmtId="0" fontId="0" fillId="0" borderId="0" xfId="0" applyBorder="1"/>
    <xf numFmtId="37" fontId="0" fillId="0" borderId="0" xfId="0" applyNumberFormat="1" applyFont="1"/>
    <xf numFmtId="37" fontId="0" fillId="0" borderId="0" xfId="0" applyNumberFormat="1" applyBorder="1"/>
    <xf numFmtId="168" fontId="0" fillId="0" borderId="0" xfId="0" applyNumberFormat="1"/>
    <xf numFmtId="168" fontId="0" fillId="0" borderId="0" xfId="0" applyNumberFormat="1" applyFont="1"/>
    <xf numFmtId="0" fontId="1" fillId="0" borderId="1" xfId="0" applyFont="1" applyBorder="1"/>
    <xf numFmtId="0" fontId="1" fillId="0" borderId="0" xfId="0" applyFont="1" applyBorder="1"/>
    <xf numFmtId="37" fontId="1" fillId="0" borderId="0" xfId="0" applyNumberFormat="1" applyFont="1" applyBorder="1"/>
    <xf numFmtId="37" fontId="0" fillId="0" borderId="0" xfId="0" applyNumberFormat="1" applyFill="1" applyBorder="1"/>
    <xf numFmtId="0" fontId="11" fillId="0" borderId="0" xfId="0" applyFont="1"/>
    <xf numFmtId="10" fontId="0" fillId="0" borderId="0" xfId="0" applyNumberFormat="1"/>
    <xf numFmtId="0" fontId="12" fillId="0" borderId="0" xfId="0" applyFont="1"/>
    <xf numFmtId="10" fontId="13" fillId="0" borderId="0" xfId="0" applyNumberFormat="1" applyFont="1"/>
    <xf numFmtId="1" fontId="0" fillId="0" borderId="0" xfId="0" applyNumberFormat="1"/>
    <xf numFmtId="0" fontId="15" fillId="0" borderId="0" xfId="0" applyFont="1"/>
    <xf numFmtId="0" fontId="14" fillId="0" borderId="2" xfId="0" applyFont="1" applyBorder="1"/>
    <xf numFmtId="0" fontId="0" fillId="0" borderId="2" xfId="0" applyBorder="1"/>
    <xf numFmtId="169" fontId="0" fillId="0" borderId="0" xfId="0" applyNumberFormat="1"/>
    <xf numFmtId="170" fontId="0" fillId="0" borderId="0" xfId="0" applyNumberFormat="1"/>
    <xf numFmtId="37" fontId="12" fillId="0" borderId="0" xfId="0" applyNumberFormat="1" applyFont="1"/>
    <xf numFmtId="0" fontId="14" fillId="0" borderId="0" xfId="0" applyFont="1"/>
    <xf numFmtId="0" fontId="0" fillId="6" borderId="0" xfId="0" applyFill="1"/>
    <xf numFmtId="0" fontId="12" fillId="6" borderId="0" xfId="0" applyFont="1" applyFill="1"/>
    <xf numFmtId="0" fontId="16" fillId="6" borderId="0" xfId="0" applyFont="1" applyFill="1"/>
    <xf numFmtId="0" fontId="0" fillId="0" borderId="0" xfId="0" applyFill="1"/>
    <xf numFmtId="0" fontId="12" fillId="0" borderId="0" xfId="0" applyFont="1" applyFill="1"/>
    <xf numFmtId="0" fontId="1" fillId="0" borderId="2" xfId="0" applyFont="1" applyBorder="1"/>
    <xf numFmtId="0" fontId="12" fillId="0" borderId="2" xfId="0" applyFont="1" applyBorder="1"/>
    <xf numFmtId="0" fontId="16" fillId="0" borderId="0" xfId="0" applyFont="1" applyFill="1"/>
    <xf numFmtId="0" fontId="1" fillId="0" borderId="0" xfId="0" applyFont="1" applyFill="1"/>
    <xf numFmtId="0" fontId="0" fillId="7" borderId="0" xfId="0" applyFill="1"/>
    <xf numFmtId="0" fontId="0" fillId="0" borderId="3" xfId="0" applyBorder="1"/>
    <xf numFmtId="0" fontId="12" fillId="0" borderId="3" xfId="0" applyFont="1" applyBorder="1"/>
    <xf numFmtId="0" fontId="1" fillId="0" borderId="3" xfId="0" applyFont="1" applyBorder="1"/>
    <xf numFmtId="170" fontId="0" fillId="0" borderId="0" xfId="0" applyNumberFormat="1" applyFill="1"/>
    <xf numFmtId="37" fontId="1" fillId="0" borderId="3" xfId="0" applyNumberFormat="1" applyFont="1" applyBorder="1"/>
    <xf numFmtId="0" fontId="18" fillId="0" borderId="3" xfId="0" applyFont="1" applyBorder="1"/>
    <xf numFmtId="0" fontId="0" fillId="8" borderId="0" xfId="0" applyFill="1"/>
    <xf numFmtId="9" fontId="0" fillId="0" borderId="0" xfId="2" applyFont="1"/>
    <xf numFmtId="9" fontId="0" fillId="0" borderId="0" xfId="0" applyNumberFormat="1"/>
    <xf numFmtId="0" fontId="0" fillId="0" borderId="3" xfId="0" applyFill="1" applyBorder="1"/>
    <xf numFmtId="37" fontId="0" fillId="0" borderId="3" xfId="0" applyNumberFormat="1" applyBorder="1"/>
    <xf numFmtId="0" fontId="9" fillId="0" borderId="0" xfId="0" applyFont="1" applyFill="1"/>
    <xf numFmtId="15" fontId="0" fillId="0" borderId="0" xfId="0" applyNumberFormat="1" applyFill="1"/>
    <xf numFmtId="165" fontId="0" fillId="0" borderId="0" xfId="0" applyNumberFormat="1" applyFill="1"/>
    <xf numFmtId="167" fontId="0" fillId="0" borderId="0" xfId="0" applyNumberFormat="1" applyFill="1"/>
    <xf numFmtId="0" fontId="19" fillId="5" borderId="0" xfId="0" applyFont="1" applyFill="1"/>
    <xf numFmtId="0" fontId="20" fillId="0" borderId="0" xfId="0" applyFont="1" applyFill="1"/>
    <xf numFmtId="0" fontId="20" fillId="0" borderId="1" xfId="0" applyFont="1" applyFill="1" applyBorder="1"/>
    <xf numFmtId="9" fontId="0" fillId="0" borderId="1" xfId="2" applyFont="1" applyBorder="1"/>
    <xf numFmtId="9" fontId="0" fillId="0" borderId="0" xfId="2" applyNumberFormat="1" applyFont="1"/>
    <xf numFmtId="0" fontId="21" fillId="0" borderId="0" xfId="0" applyFont="1"/>
    <xf numFmtId="1" fontId="20" fillId="0" borderId="0" xfId="0" applyNumberFormat="1" applyFont="1" applyFill="1"/>
    <xf numFmtId="3" fontId="0" fillId="0" borderId="0" xfId="2" applyNumberFormat="1" applyFont="1"/>
    <xf numFmtId="4" fontId="22" fillId="0" borderId="0" xfId="0" applyNumberFormat="1" applyFont="1"/>
    <xf numFmtId="171" fontId="0" fillId="0" borderId="0" xfId="2" applyNumberFormat="1" applyFont="1"/>
    <xf numFmtId="0" fontId="24" fillId="0" borderId="0" xfId="0" applyFont="1" applyFill="1"/>
    <xf numFmtId="0" fontId="0" fillId="0" borderId="0" xfId="0" applyFont="1" applyFill="1"/>
    <xf numFmtId="0" fontId="1" fillId="0" borderId="1" xfId="0" applyFont="1" applyFill="1" applyBorder="1"/>
    <xf numFmtId="9" fontId="1" fillId="0" borderId="1" xfId="2" applyFont="1" applyBorder="1"/>
    <xf numFmtId="0" fontId="6" fillId="0" borderId="0" xfId="0" applyFont="1" applyFill="1"/>
    <xf numFmtId="0" fontId="25" fillId="0" borderId="1" xfId="0" applyFont="1" applyFill="1" applyBorder="1"/>
    <xf numFmtId="2" fontId="0" fillId="0" borderId="0" xfId="0" applyNumberFormat="1"/>
    <xf numFmtId="0" fontId="1" fillId="0" borderId="4" xfId="0" applyFont="1" applyBorder="1"/>
    <xf numFmtId="0" fontId="23" fillId="0" borderId="4" xfId="0" applyFont="1" applyFill="1" applyBorder="1"/>
    <xf numFmtId="37" fontId="1" fillId="0" borderId="4" xfId="0" applyNumberFormat="1" applyFont="1" applyBorder="1"/>
    <xf numFmtId="172" fontId="0" fillId="0" borderId="0" xfId="0" applyNumberFormat="1"/>
    <xf numFmtId="0" fontId="26" fillId="0" borderId="0" xfId="0" applyFont="1"/>
    <xf numFmtId="0" fontId="13" fillId="0" borderId="0" xfId="0" applyFont="1"/>
    <xf numFmtId="37" fontId="26" fillId="0" borderId="0" xfId="0" applyNumberFormat="1" applyFont="1"/>
    <xf numFmtId="37" fontId="13" fillId="0" borderId="0" xfId="0" applyNumberFormat="1" applyFont="1"/>
    <xf numFmtId="37" fontId="26" fillId="0" borderId="1" xfId="0" applyNumberFormat="1" applyFont="1" applyBorder="1"/>
    <xf numFmtId="1" fontId="13" fillId="0" borderId="0" xfId="0" applyNumberFormat="1" applyFont="1"/>
    <xf numFmtId="0" fontId="26" fillId="0" borderId="1" xfId="0" applyFont="1" applyBorder="1"/>
    <xf numFmtId="0" fontId="13" fillId="0" borderId="0" xfId="0" applyFont="1" applyBorder="1"/>
    <xf numFmtId="37" fontId="13" fillId="0" borderId="0" xfId="0" applyNumberFormat="1" applyFont="1" applyBorder="1"/>
    <xf numFmtId="37" fontId="26" fillId="0" borderId="0" xfId="0" applyNumberFormat="1" applyFont="1" applyBorder="1"/>
    <xf numFmtId="37" fontId="13" fillId="0" borderId="1" xfId="0" applyNumberFormat="1" applyFont="1" applyBorder="1"/>
    <xf numFmtId="37" fontId="13" fillId="0" borderId="3" xfId="0" applyNumberFormat="1" applyFont="1" applyFill="1" applyBorder="1"/>
    <xf numFmtId="37" fontId="26" fillId="0" borderId="3" xfId="0" applyNumberFormat="1" applyFont="1" applyBorder="1"/>
    <xf numFmtId="0" fontId="26" fillId="0" borderId="3" xfId="0" applyFont="1" applyBorder="1"/>
    <xf numFmtId="37" fontId="13" fillId="0" borderId="3" xfId="0" applyNumberFormat="1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4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 Ratio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Analysis'!$D$27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numRef>
              <c:f>'Financial Analysis'!$J$9:$N$9</c:f>
              <c:numCache>
                <c:formatCode>0\ "A"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'Financial Analysis'!$J$27:$N$27</c:f>
              <c:numCache>
                <c:formatCode>0.00%</c:formatCode>
                <c:ptCount val="5"/>
                <c:pt idx="0">
                  <c:v>0.14932663287275766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ECA-43E4-BD33-94A745A457DA}"/>
            </c:ext>
          </c:extLst>
        </c:ser>
        <c:ser>
          <c:idx val="1"/>
          <c:order val="1"/>
          <c:tx>
            <c:strRef>
              <c:f>'Financial Analysis'!$D$28</c:f>
              <c:strCache>
                <c:ptCount val="1"/>
                <c:pt idx="0">
                  <c:v>Operating Profit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'Financial Analysis'!$J$9:$N$9</c:f>
              <c:numCache>
                <c:formatCode>0\ "A"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'Financial Analysis'!$J$28:$N$28</c:f>
              <c:numCache>
                <c:formatCode>0.00%</c:formatCode>
                <c:ptCount val="5"/>
                <c:pt idx="0">
                  <c:v>0.37833949756265889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ECA-43E4-BD33-94A745A457DA}"/>
            </c:ext>
          </c:extLst>
        </c:ser>
        <c:ser>
          <c:idx val="2"/>
          <c:order val="2"/>
          <c:tx>
            <c:strRef>
              <c:f>'Financial Analysis'!$D$29</c:f>
              <c:strCache>
                <c:ptCount val="1"/>
                <c:pt idx="0">
                  <c:v>Net Income Margin</c:v>
                </c:pt>
              </c:strCache>
            </c:strRef>
          </c:tx>
          <c:invertIfNegative val="0"/>
          <c:cat>
            <c:numRef>
              <c:f>'Financial Analysis'!$J$9:$N$9</c:f>
              <c:numCache>
                <c:formatCode>0\ "A"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'Financial Analysis'!$J$29:$N$29</c:f>
              <c:numCache>
                <c:formatCode>0.00%</c:formatCode>
                <c:ptCount val="5"/>
                <c:pt idx="0">
                  <c:v>0.41003708257799248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ECA-43E4-BD33-94A745A45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2743375"/>
        <c:axId val="1502745455"/>
      </c:barChart>
      <c:catAx>
        <c:axId val="1502743375"/>
        <c:scaling>
          <c:orientation val="minMax"/>
        </c:scaling>
        <c:delete val="0"/>
        <c:axPos val="b"/>
        <c:numFmt formatCode="0\ 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45455"/>
        <c:crosses val="autoZero"/>
        <c:auto val="1"/>
        <c:lblAlgn val="ctr"/>
        <c:lblOffset val="100"/>
        <c:noMultiLvlLbl val="0"/>
      </c:catAx>
      <c:valAx>
        <c:axId val="1502745455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502743375"/>
        <c:crosses val="autoZero"/>
        <c:crossBetween val="between"/>
      </c:valAx>
      <c:spPr>
        <a:ln>
          <a:noFill/>
        </a:ln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</a:t>
            </a:r>
            <a:r>
              <a:rPr lang="en-US" baseline="0"/>
              <a:t> vs ROE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Analysis'!$D$30</c:f>
              <c:strCache>
                <c:ptCount val="1"/>
                <c:pt idx="0">
                  <c:v>Return on Assets (ROA)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numRef>
              <c:f>'Financial Analysis'!$J$9:$N$9</c:f>
              <c:numCache>
                <c:formatCode>0\ "A"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'Financial Analysis'!$J$30:$N$30</c:f>
              <c:numCache>
                <c:formatCode>0.00%</c:formatCode>
                <c:ptCount val="5"/>
                <c:pt idx="0">
                  <c:v>5.0751929943742981E-2</c:v>
                </c:pt>
                <c:pt idx="1">
                  <c:v>-0.10213233466071334</c:v>
                </c:pt>
                <c:pt idx="2">
                  <c:v>-3.3083273824811861E-2</c:v>
                </c:pt>
                <c:pt idx="3">
                  <c:v>-3.4215225498972039E-2</c:v>
                </c:pt>
                <c:pt idx="4">
                  <c:v>-3.4215225498972039E-2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C-499F-BD88-7A3ED7243B0A}"/>
            </c:ext>
          </c:extLst>
        </c:ser>
        <c:ser>
          <c:idx val="1"/>
          <c:order val="1"/>
          <c:tx>
            <c:strRef>
              <c:f>'Financial Analysis'!$D$31</c:f>
              <c:strCache>
                <c:ptCount val="1"/>
                <c:pt idx="0">
                  <c:v>Return on Equities (ROE)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'Financial Analysis'!$J$9:$N$9</c:f>
              <c:numCache>
                <c:formatCode>0\ "A"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'Financial Analysis'!$J$31:$N$31</c:f>
              <c:numCache>
                <c:formatCode>0.00%</c:formatCode>
                <c:ptCount val="5"/>
                <c:pt idx="0">
                  <c:v>5.6837159731901718E-2</c:v>
                </c:pt>
                <c:pt idx="1">
                  <c:v>-0.10589670119099238</c:v>
                </c:pt>
                <c:pt idx="2">
                  <c:v>-3.4344527207912E-2</c:v>
                </c:pt>
                <c:pt idx="3">
                  <c:v>-3.5566025539738859E-2</c:v>
                </c:pt>
                <c:pt idx="4">
                  <c:v>-3.5566025539738859E-2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BC-499F-BD88-7A3ED7243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2743375"/>
        <c:axId val="1502745455"/>
      </c:barChart>
      <c:catAx>
        <c:axId val="1502743375"/>
        <c:scaling>
          <c:orientation val="minMax"/>
        </c:scaling>
        <c:delete val="0"/>
        <c:axPos val="b"/>
        <c:numFmt formatCode="0\ 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45455"/>
        <c:crosses val="autoZero"/>
        <c:auto val="1"/>
        <c:lblAlgn val="ctr"/>
        <c:lblOffset val="100"/>
        <c:noMultiLvlLbl val="0"/>
      </c:catAx>
      <c:valAx>
        <c:axId val="1502745455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50274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  <a:r>
              <a:rPr lang="en-US" baseline="0"/>
              <a:t> Ratio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'Financial Analysis'!$D$19</c:f>
              <c:strCache>
                <c:ptCount val="1"/>
                <c:pt idx="0">
                  <c:v>Days of Sales Outstanding (DSO)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'Financial Analysis'!$J$9:$N$9</c:f>
              <c:numCache>
                <c:formatCode>0\ "A"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'Financial Analysis'!$J$19:$N$19</c:f>
              <c:numCache>
                <c:formatCode>0\ "Days"</c:formatCode>
                <c:ptCount val="5"/>
                <c:pt idx="0">
                  <c:v>39.381425662310399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37-44E2-B569-29926D0C73C9}"/>
            </c:ext>
          </c:extLst>
        </c:ser>
        <c:ser>
          <c:idx val="1"/>
          <c:order val="1"/>
          <c:tx>
            <c:strRef>
              <c:f>'Financial Analysis'!$D$20</c:f>
              <c:strCache>
                <c:ptCount val="1"/>
                <c:pt idx="0">
                  <c:v>Days of Inventory Outstanding (DIO)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'Financial Analysis'!$J$9:$N$9</c:f>
              <c:numCache>
                <c:formatCode>0\ "A"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'Financial Analysis'!$J$20:$N$20</c:f>
              <c:numCache>
                <c:formatCode>0\ "Days"</c:formatCode>
                <c:ptCount val="5"/>
                <c:pt idx="0">
                  <c:v>39.758290271564015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37-44E2-B569-29926D0C73C9}"/>
            </c:ext>
          </c:extLst>
        </c:ser>
        <c:ser>
          <c:idx val="2"/>
          <c:order val="2"/>
          <c:tx>
            <c:strRef>
              <c:f>'Financial Analysis'!$D$21</c:f>
              <c:strCache>
                <c:ptCount val="1"/>
                <c:pt idx="0">
                  <c:v>Days of Payables Outstanding (DPO)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'Financial Analysis'!$J$9:$N$9</c:f>
              <c:numCache>
                <c:formatCode>0\ "A"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'Financial Analysis'!$J$21:$N$21</c:f>
              <c:numCache>
                <c:formatCode>0\ "Days"</c:formatCode>
                <c:ptCount val="5"/>
                <c:pt idx="0">
                  <c:v>2.8583486269568086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37-44E2-B569-29926D0C73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91536543"/>
        <c:axId val="1491537375"/>
      </c:lineChart>
      <c:catAx>
        <c:axId val="1491536543"/>
        <c:scaling>
          <c:orientation val="minMax"/>
        </c:scaling>
        <c:delete val="0"/>
        <c:axPos val="b"/>
        <c:numFmt formatCode="0\ 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537375"/>
        <c:crosses val="autoZero"/>
        <c:auto val="1"/>
        <c:lblAlgn val="ctr"/>
        <c:lblOffset val="100"/>
        <c:noMultiLvlLbl val="0"/>
      </c:catAx>
      <c:valAx>
        <c:axId val="1491537375"/>
        <c:scaling>
          <c:orientation val="minMax"/>
        </c:scaling>
        <c:delete val="1"/>
        <c:axPos val="l"/>
        <c:numFmt formatCode="0\ &quot;Days&quot;" sourceLinked="1"/>
        <c:majorTickMark val="none"/>
        <c:minorTickMark val="none"/>
        <c:tickLblPos val="nextTo"/>
        <c:crossAx val="149153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Liquidity</a:t>
            </a:r>
            <a:r>
              <a:rPr lang="en-US" baseline="0"/>
              <a:t> Ratio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Analysis'!$D$34</c:f>
              <c:strCache>
                <c:ptCount val="1"/>
                <c:pt idx="0">
                  <c:v>Cash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'Financial Analysis'!$J$9:$N$9</c:f>
              <c:numCache>
                <c:formatCode>0\ "A"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'Financial Analysis'!$J$34:$N$34</c:f>
              <c:numCache>
                <c:formatCode>0.00\ "X"</c:formatCode>
                <c:ptCount val="5"/>
                <c:pt idx="0">
                  <c:v>0.15480374926772114</c:v>
                </c:pt>
                <c:pt idx="1">
                  <c:v>0.15480374926772114</c:v>
                </c:pt>
                <c:pt idx="2">
                  <c:v>0.15480374926772114</c:v>
                </c:pt>
                <c:pt idx="3">
                  <c:v>0.15480374926772114</c:v>
                </c:pt>
                <c:pt idx="4">
                  <c:v>0.15480374926772114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A-4A8E-93E2-6A0445931E94}"/>
            </c:ext>
          </c:extLst>
        </c:ser>
        <c:ser>
          <c:idx val="1"/>
          <c:order val="1"/>
          <c:tx>
            <c:strRef>
              <c:f>'Financial Analysis'!$D$35</c:f>
              <c:strCache>
                <c:ptCount val="1"/>
                <c:pt idx="0">
                  <c:v>Quick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'Financial Analysis'!$J$9:$N$9</c:f>
              <c:numCache>
                <c:formatCode>0\ "A"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'Financial Analysis'!$J$35:$N$35</c:f>
              <c:numCache>
                <c:formatCode>0.00\ "X"</c:formatCode>
                <c:ptCount val="5"/>
                <c:pt idx="0">
                  <c:v>3.4150556531927356</c:v>
                </c:pt>
                <c:pt idx="1">
                  <c:v>3.4150556531927356</c:v>
                </c:pt>
                <c:pt idx="2">
                  <c:v>3.4150556531927356</c:v>
                </c:pt>
                <c:pt idx="3">
                  <c:v>3.4150556531927356</c:v>
                </c:pt>
                <c:pt idx="4">
                  <c:v>3.4150556531927356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A-4A8E-93E2-6A0445931E94}"/>
            </c:ext>
          </c:extLst>
        </c:ser>
        <c:ser>
          <c:idx val="2"/>
          <c:order val="2"/>
          <c:tx>
            <c:strRef>
              <c:f>'Financial Analysis'!$D$36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numRef>
              <c:f>'Financial Analysis'!$J$9:$N$9</c:f>
              <c:numCache>
                <c:formatCode>0\ "A"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'Financial Analysis'!$J$36:$N$36</c:f>
              <c:numCache>
                <c:formatCode>0.00\ "X"</c:formatCode>
                <c:ptCount val="5"/>
                <c:pt idx="0">
                  <c:v>7.1980082015231401</c:v>
                </c:pt>
                <c:pt idx="1">
                  <c:v>7.1980082015231401</c:v>
                </c:pt>
                <c:pt idx="2">
                  <c:v>7.1980082015231401</c:v>
                </c:pt>
                <c:pt idx="3">
                  <c:v>7.1980082015231401</c:v>
                </c:pt>
                <c:pt idx="4">
                  <c:v>7.1980082015231401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1A-4A8E-93E2-6A0445931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1377087"/>
        <c:axId val="1511382079"/>
      </c:barChart>
      <c:catAx>
        <c:axId val="1511377087"/>
        <c:scaling>
          <c:orientation val="minMax"/>
        </c:scaling>
        <c:delete val="0"/>
        <c:axPos val="b"/>
        <c:numFmt formatCode="0\ 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382079"/>
        <c:crosses val="autoZero"/>
        <c:auto val="1"/>
        <c:lblAlgn val="ctr"/>
        <c:lblOffset val="100"/>
        <c:noMultiLvlLbl val="0"/>
      </c:catAx>
      <c:valAx>
        <c:axId val="1511382079"/>
        <c:scaling>
          <c:orientation val="minMax"/>
        </c:scaling>
        <c:delete val="0"/>
        <c:axPos val="l"/>
        <c:numFmt formatCode="0.00\ &quot;X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37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Solvency</a:t>
            </a:r>
            <a:r>
              <a:rPr lang="en-US" baseline="0"/>
              <a:t> Ratio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799582239720035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'Financial Analysis'!$D$39</c:f>
              <c:strCache>
                <c:ptCount val="1"/>
                <c:pt idx="0">
                  <c:v>Debt to Equities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'Financial Analysis'!$J$9:$N$9</c:f>
              <c:numCache>
                <c:formatCode>0\ "A"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'Financial Analysis'!$J$39:$N$39</c:f>
              <c:numCache>
                <c:formatCode>0.00%</c:formatCode>
                <c:ptCount val="5"/>
                <c:pt idx="0">
                  <c:v>2.8728473350170879E-2</c:v>
                </c:pt>
                <c:pt idx="1">
                  <c:v>3.1770723908207316E-2</c:v>
                </c:pt>
                <c:pt idx="2">
                  <c:v>3.2861874399887803E-2</c:v>
                </c:pt>
                <c:pt idx="3">
                  <c:v>3.4030640664077898E-2</c:v>
                </c:pt>
                <c:pt idx="4">
                  <c:v>3.4030640664077898E-2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2-4C7D-870F-130585D7F997}"/>
            </c:ext>
          </c:extLst>
        </c:ser>
        <c:ser>
          <c:idx val="1"/>
          <c:order val="1"/>
          <c:tx>
            <c:strRef>
              <c:f>'Financial Analysis'!$D$40</c:f>
              <c:strCache>
                <c:ptCount val="1"/>
                <c:pt idx="0">
                  <c:v>Debt to Capital Employed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'Financial Analysis'!$J$9:$N$9</c:f>
              <c:numCache>
                <c:formatCode>0\ "A"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'Financial Analysis'!$J$40:$N$40</c:f>
              <c:numCache>
                <c:formatCode>0.00%</c:formatCode>
                <c:ptCount val="5"/>
                <c:pt idx="0">
                  <c:v>2.7926196362207559E-2</c:v>
                </c:pt>
                <c:pt idx="1">
                  <c:v>3.0792426235805692E-2</c:v>
                </c:pt>
                <c:pt idx="2">
                  <c:v>3.1816330154485727E-2</c:v>
                </c:pt>
                <c:pt idx="3">
                  <c:v>3.2910669496430636E-2</c:v>
                </c:pt>
                <c:pt idx="4">
                  <c:v>3.2910669496430636E-2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62-4C7D-870F-130585D7F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2746287"/>
        <c:axId val="1502749615"/>
      </c:barChart>
      <c:catAx>
        <c:axId val="1502746287"/>
        <c:scaling>
          <c:orientation val="minMax"/>
        </c:scaling>
        <c:delete val="0"/>
        <c:axPos val="b"/>
        <c:numFmt formatCode="0\ 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49615"/>
        <c:crosses val="autoZero"/>
        <c:auto val="1"/>
        <c:lblAlgn val="ctr"/>
        <c:lblOffset val="100"/>
        <c:noMultiLvlLbl val="0"/>
      </c:catAx>
      <c:valAx>
        <c:axId val="1502749615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50274628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222251</xdr:colOff>
      <xdr:row>5</xdr:row>
      <xdr:rowOff>105833</xdr:rowOff>
    </xdr:from>
    <xdr:to>
      <xdr:col>6</xdr:col>
      <xdr:colOff>60326</xdr:colOff>
      <xdr:row>20</xdr:row>
      <xdr:rowOff>134408</xdr:rowOff>
    </xdr:to>
    <xdr:pic>
      <xdr:nvPicPr>
        <xdr:cNvPr id="2" name="Picture 1" descr="AUSTINLAZ Stock Price and Chart — NSENG:AUSTINLAZ — TradingView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084" y="1058333"/>
          <a:ext cx="2907242" cy="288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12</xdr:row>
      <xdr:rowOff>0</xdr:rowOff>
    </xdr:from>
    <xdr:to>
      <xdr:col>11</xdr:col>
      <xdr:colOff>19050</xdr:colOff>
      <xdr:row>12</xdr:row>
      <xdr:rowOff>9525</xdr:rowOff>
    </xdr:to>
    <xdr:cxnSp macro="">
      <xdr:nvCxnSpPr>
        <xdr:cNvPr id="4" name="Straight Connector 3"/>
        <xdr:cNvCxnSpPr/>
      </xdr:nvCxnSpPr>
      <xdr:spPr>
        <a:xfrm flipV="1">
          <a:off x="1819275" y="2286000"/>
          <a:ext cx="4905375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600075</xdr:colOff>
      <xdr:row>18</xdr:row>
      <xdr:rowOff>0</xdr:rowOff>
    </xdr:from>
    <xdr:to>
      <xdr:col>11</xdr:col>
      <xdr:colOff>19050</xdr:colOff>
      <xdr:row>18</xdr:row>
      <xdr:rowOff>9525</xdr:rowOff>
    </xdr:to>
    <xdr:cxnSp macro="">
      <xdr:nvCxnSpPr>
        <xdr:cNvPr id="9" name="Straight Connector 8"/>
        <xdr:cNvCxnSpPr/>
      </xdr:nvCxnSpPr>
      <xdr:spPr>
        <a:xfrm flipV="1">
          <a:off x="1817704" y="3633247"/>
          <a:ext cx="5006320" cy="9525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9</xdr:row>
      <xdr:rowOff>9525</xdr:rowOff>
    </xdr:from>
    <xdr:to>
      <xdr:col>10</xdr:col>
      <xdr:colOff>600075</xdr:colOff>
      <xdr:row>9</xdr:row>
      <xdr:rowOff>9526</xdr:rowOff>
    </xdr:to>
    <xdr:cxnSp macro="">
      <xdr:nvCxnSpPr>
        <xdr:cNvPr id="10" name="Straight Connector 9"/>
        <xdr:cNvCxnSpPr/>
      </xdr:nvCxnSpPr>
      <xdr:spPr>
        <a:xfrm flipV="1">
          <a:off x="1228725" y="1724025"/>
          <a:ext cx="5467350" cy="1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</xdr:row>
      <xdr:rowOff>2</xdr:rowOff>
    </xdr:from>
    <xdr:to>
      <xdr:col>11</xdr:col>
      <xdr:colOff>42809</xdr:colOff>
      <xdr:row>27</xdr:row>
      <xdr:rowOff>10702</xdr:rowOff>
    </xdr:to>
    <xdr:cxnSp macro="">
      <xdr:nvCxnSpPr>
        <xdr:cNvPr id="13" name="Straight Connector 12"/>
        <xdr:cNvCxnSpPr/>
      </xdr:nvCxnSpPr>
      <xdr:spPr>
        <a:xfrm>
          <a:off x="1830084" y="5201294"/>
          <a:ext cx="4923034" cy="1070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35</xdr:row>
      <xdr:rowOff>0</xdr:rowOff>
    </xdr:from>
    <xdr:to>
      <xdr:col>11</xdr:col>
      <xdr:colOff>21404</xdr:colOff>
      <xdr:row>35</xdr:row>
      <xdr:rowOff>2</xdr:rowOff>
    </xdr:to>
    <xdr:cxnSp macro="">
      <xdr:nvCxnSpPr>
        <xdr:cNvPr id="14" name="Straight Connector 13"/>
        <xdr:cNvCxnSpPr/>
      </xdr:nvCxnSpPr>
      <xdr:spPr>
        <a:xfrm flipV="1">
          <a:off x="1830084" y="6742416"/>
          <a:ext cx="4901629" cy="2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23</xdr:row>
      <xdr:rowOff>180976</xdr:rowOff>
    </xdr:from>
    <xdr:to>
      <xdr:col>11</xdr:col>
      <xdr:colOff>13805</xdr:colOff>
      <xdr:row>24</xdr:row>
      <xdr:rowOff>13804</xdr:rowOff>
    </xdr:to>
    <xdr:cxnSp macro="">
      <xdr:nvCxnSpPr>
        <xdr:cNvPr id="15" name="Straight Connector 14"/>
        <xdr:cNvCxnSpPr/>
      </xdr:nvCxnSpPr>
      <xdr:spPr>
        <a:xfrm>
          <a:off x="1224308" y="4625976"/>
          <a:ext cx="5470801" cy="26089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45</xdr:row>
      <xdr:rowOff>0</xdr:rowOff>
    </xdr:from>
    <xdr:to>
      <xdr:col>11</xdr:col>
      <xdr:colOff>21404</xdr:colOff>
      <xdr:row>45</xdr:row>
      <xdr:rowOff>2</xdr:rowOff>
    </xdr:to>
    <xdr:cxnSp macro="">
      <xdr:nvCxnSpPr>
        <xdr:cNvPr id="11" name="Straight Connector 10"/>
        <xdr:cNvCxnSpPr/>
      </xdr:nvCxnSpPr>
      <xdr:spPr>
        <a:xfrm flipV="1">
          <a:off x="1818409" y="8621981"/>
          <a:ext cx="4870495" cy="2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232834</xdr:colOff>
      <xdr:row>3</xdr:row>
      <xdr:rowOff>10583</xdr:rowOff>
    </xdr:from>
    <xdr:to>
      <xdr:col>7</xdr:col>
      <xdr:colOff>508001</xdr:colOff>
      <xdr:row>16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42175</xdr:colOff>
      <xdr:row>3</xdr:row>
      <xdr:rowOff>15873</xdr:rowOff>
    </xdr:from>
    <xdr:to>
      <xdr:col>15</xdr:col>
      <xdr:colOff>335862</xdr:colOff>
      <xdr:row>16</xdr:row>
      <xdr:rowOff>193635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131378</xdr:colOff>
      <xdr:row>18</xdr:row>
      <xdr:rowOff>65689</xdr:rowOff>
    </xdr:from>
    <xdr:to>
      <xdr:col>11</xdr:col>
      <xdr:colOff>558361</xdr:colOff>
      <xdr:row>32</xdr:row>
      <xdr:rowOff>65688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114956</xdr:colOff>
      <xdr:row>34</xdr:row>
      <xdr:rowOff>16423</xdr:rowOff>
    </xdr:from>
    <xdr:to>
      <xdr:col>11</xdr:col>
      <xdr:colOff>591206</xdr:colOff>
      <xdr:row>48</xdr:row>
      <xdr:rowOff>658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65690</xdr:colOff>
      <xdr:row>49</xdr:row>
      <xdr:rowOff>114956</xdr:rowOff>
    </xdr:from>
    <xdr:to>
      <xdr:col>12</xdr:col>
      <xdr:colOff>16422</xdr:colOff>
      <xdr:row>63</xdr:row>
      <xdr:rowOff>82112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N24"/>
  <sheetViews>
    <sheetView showGridLines="0" zoomScale="60" workbookViewId="0">
      <selection activeCell="I16" sqref="I16"/>
    </sheetView>
  </sheetViews>
  <sheetFormatPr defaultRowHeight="15" x14ac:dyDescent="0.25"/>
  <sheetData>
    <row r="4" spans="2:14" x14ac:dyDescent="0.25">
      <c r="D4" s="1" t="s">
        <v>1</v>
      </c>
    </row>
    <row r="5" spans="2:14" x14ac:dyDescent="0.25">
      <c r="B5" s="111" t="s">
        <v>2</v>
      </c>
      <c r="C5" s="111"/>
      <c r="D5" s="111"/>
      <c r="E5" s="111"/>
      <c r="F5" s="111"/>
      <c r="N5" t="s">
        <v>0</v>
      </c>
    </row>
    <row r="23" spans="2:6" x14ac:dyDescent="0.25">
      <c r="B23" s="111" t="s">
        <v>3</v>
      </c>
      <c r="C23" s="111"/>
      <c r="D23" s="111"/>
      <c r="E23" s="111"/>
      <c r="F23" s="111"/>
    </row>
    <row r="24" spans="2:6" x14ac:dyDescent="0.25">
      <c r="B24" s="112" t="s">
        <v>4</v>
      </c>
      <c r="C24" s="112"/>
      <c r="D24" s="112"/>
      <c r="E24" s="112"/>
      <c r="F24" s="112"/>
    </row>
  </sheetData>
  <mergeCells count="3">
    <mergeCell ref="B5:F5"/>
    <mergeCell ref="B23:F23"/>
    <mergeCell ref="B24:F2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45"/>
  <sheetViews>
    <sheetView showGridLines="0" topLeftCell="A37" zoomScale="82" zoomScaleNormal="110" workbookViewId="0">
      <selection activeCell="D45" sqref="D45"/>
    </sheetView>
  </sheetViews>
  <sheetFormatPr defaultRowHeight="15" x14ac:dyDescent="0.25"/>
  <cols>
    <col min="9" max="9" width="10.7109375" bestFit="1" customWidth="1"/>
  </cols>
  <sheetData>
    <row r="3" spans="1:1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36" x14ac:dyDescent="0.55000000000000004">
      <c r="A4" s="3"/>
      <c r="B4" s="113" t="s">
        <v>39</v>
      </c>
      <c r="C4" s="113"/>
      <c r="D4" s="113"/>
      <c r="E4" s="113"/>
      <c r="F4" s="113"/>
      <c r="G4" s="113"/>
      <c r="H4" s="113"/>
      <c r="I4" s="113"/>
      <c r="J4" s="113"/>
      <c r="K4" s="113"/>
    </row>
    <row r="5" spans="1:1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7" spans="1:11" x14ac:dyDescent="0.25">
      <c r="C7" s="1" t="s">
        <v>5</v>
      </c>
    </row>
    <row r="9" spans="1:11" x14ac:dyDescent="0.25">
      <c r="C9" s="1" t="s">
        <v>6</v>
      </c>
    </row>
    <row r="10" spans="1:11" x14ac:dyDescent="0.25">
      <c r="C10" s="11" t="s">
        <v>7</v>
      </c>
      <c r="D10" s="12"/>
      <c r="E10" s="12"/>
      <c r="F10" s="12"/>
      <c r="G10" s="12"/>
    </row>
    <row r="12" spans="1:11" x14ac:dyDescent="0.25">
      <c r="D12" s="1" t="s">
        <v>8</v>
      </c>
    </row>
    <row r="13" spans="1:11" x14ac:dyDescent="0.25">
      <c r="D13" t="s">
        <v>9</v>
      </c>
      <c r="I13" s="2" t="s">
        <v>1</v>
      </c>
      <c r="J13" s="2"/>
      <c r="K13" s="2"/>
    </row>
    <row r="14" spans="1:11" x14ac:dyDescent="0.25">
      <c r="D14" t="s">
        <v>10</v>
      </c>
      <c r="I14" s="2" t="s">
        <v>12</v>
      </c>
      <c r="J14" s="2"/>
      <c r="K14" s="2"/>
    </row>
    <row r="15" spans="1:11" x14ac:dyDescent="0.25">
      <c r="D15" t="s">
        <v>11</v>
      </c>
      <c r="I15" s="2" t="s">
        <v>13</v>
      </c>
      <c r="J15" s="2"/>
      <c r="K15" s="2"/>
    </row>
    <row r="18" spans="3:11" x14ac:dyDescent="0.25">
      <c r="D18" s="1" t="s">
        <v>14</v>
      </c>
    </row>
    <row r="19" spans="3:11" x14ac:dyDescent="0.25">
      <c r="D19" t="s">
        <v>15</v>
      </c>
      <c r="I19" s="2" t="s">
        <v>18</v>
      </c>
      <c r="J19" s="2"/>
      <c r="K19" s="2"/>
    </row>
    <row r="20" spans="3:11" x14ac:dyDescent="0.25">
      <c r="D20" t="s">
        <v>16</v>
      </c>
      <c r="I20" s="4" t="s">
        <v>19</v>
      </c>
      <c r="J20" s="2"/>
      <c r="K20" s="2"/>
    </row>
    <row r="21" spans="3:11" x14ac:dyDescent="0.25">
      <c r="D21" t="s">
        <v>17</v>
      </c>
      <c r="I21" s="2" t="s">
        <v>4</v>
      </c>
      <c r="J21" s="2"/>
      <c r="K21" s="2"/>
    </row>
    <row r="24" spans="3:11" x14ac:dyDescent="0.25">
      <c r="C24" s="1" t="s">
        <v>20</v>
      </c>
    </row>
    <row r="25" spans="3:11" x14ac:dyDescent="0.25">
      <c r="C25" s="11" t="s">
        <v>28</v>
      </c>
      <c r="D25" s="12"/>
      <c r="E25" s="12"/>
      <c r="F25" s="12"/>
      <c r="G25" s="12"/>
    </row>
    <row r="27" spans="3:11" x14ac:dyDescent="0.25">
      <c r="D27" s="1" t="s">
        <v>29</v>
      </c>
    </row>
    <row r="28" spans="3:11" x14ac:dyDescent="0.25">
      <c r="D28" t="s">
        <v>21</v>
      </c>
      <c r="I28" s="14">
        <v>43830</v>
      </c>
      <c r="J28" s="2"/>
      <c r="K28" s="2"/>
    </row>
    <row r="29" spans="3:11" x14ac:dyDescent="0.25">
      <c r="D29" t="s">
        <v>22</v>
      </c>
      <c r="I29" s="15">
        <v>45291</v>
      </c>
      <c r="J29" s="2"/>
      <c r="K29" s="2"/>
    </row>
    <row r="30" spans="3:11" x14ac:dyDescent="0.25">
      <c r="D30" t="s">
        <v>23</v>
      </c>
      <c r="I30" s="17" t="s">
        <v>48</v>
      </c>
      <c r="J30" s="2"/>
      <c r="K30" s="2"/>
    </row>
    <row r="31" spans="3:11" x14ac:dyDescent="0.25">
      <c r="D31" t="s">
        <v>24</v>
      </c>
      <c r="I31" s="2">
        <v>12</v>
      </c>
      <c r="J31" s="2"/>
      <c r="K31" s="2"/>
    </row>
    <row r="32" spans="3:11" x14ac:dyDescent="0.25">
      <c r="D32" t="s">
        <v>25</v>
      </c>
      <c r="I32" s="4">
        <v>2023</v>
      </c>
      <c r="J32" s="2"/>
      <c r="K32" s="2"/>
    </row>
    <row r="33" spans="3:11" x14ac:dyDescent="0.25">
      <c r="D33" t="s">
        <v>26</v>
      </c>
      <c r="I33" s="2">
        <v>2028</v>
      </c>
      <c r="J33" s="2"/>
      <c r="K33" s="2"/>
    </row>
    <row r="35" spans="3:11" x14ac:dyDescent="0.25">
      <c r="D35" s="1" t="s">
        <v>27</v>
      </c>
    </row>
    <row r="36" spans="3:11" x14ac:dyDescent="0.25">
      <c r="C36" s="5"/>
      <c r="D36" s="6" t="s">
        <v>30</v>
      </c>
    </row>
    <row r="37" spans="3:11" x14ac:dyDescent="0.25">
      <c r="C37" s="5"/>
      <c r="D37" s="6" t="s">
        <v>5</v>
      </c>
    </row>
    <row r="38" spans="3:11" x14ac:dyDescent="0.25">
      <c r="C38" s="5"/>
      <c r="D38" s="6" t="s">
        <v>31</v>
      </c>
    </row>
    <row r="39" spans="3:11" x14ac:dyDescent="0.25">
      <c r="C39" s="5"/>
      <c r="D39" s="6" t="s">
        <v>32</v>
      </c>
    </row>
    <row r="40" spans="3:11" x14ac:dyDescent="0.25">
      <c r="C40" s="5"/>
      <c r="D40" s="6" t="s">
        <v>33</v>
      </c>
    </row>
    <row r="41" spans="3:11" x14ac:dyDescent="0.25">
      <c r="C41" s="5"/>
      <c r="D41" s="6" t="s">
        <v>34</v>
      </c>
    </row>
    <row r="42" spans="3:11" x14ac:dyDescent="0.25">
      <c r="C42" s="5"/>
      <c r="D42" s="6" t="s">
        <v>35</v>
      </c>
    </row>
    <row r="43" spans="3:11" x14ac:dyDescent="0.25">
      <c r="C43" s="5"/>
      <c r="D43" s="6" t="s">
        <v>36</v>
      </c>
    </row>
    <row r="44" spans="3:11" x14ac:dyDescent="0.25">
      <c r="C44" s="5"/>
      <c r="D44" s="6" t="s">
        <v>37</v>
      </c>
    </row>
    <row r="45" spans="3:11" x14ac:dyDescent="0.25">
      <c r="C45" s="5"/>
      <c r="D45" s="6" t="s">
        <v>38</v>
      </c>
    </row>
  </sheetData>
  <mergeCells count="1">
    <mergeCell ref="B4:K4"/>
  </mergeCells>
  <hyperlinks>
    <hyperlink ref="D36" location="'Cover Page '!A1" display="Cover Page"/>
    <hyperlink ref="D37" location="'Model Guide'!A1" display="Model Guide "/>
    <hyperlink ref="D38" location="'Historical Data'!A1" display="Historical Data"/>
    <hyperlink ref="D39" location="'Assumptions and Drivers'!A1" display="Assumptions and Drivers "/>
    <hyperlink ref="D40" location="IS!A1" display="Income Statement "/>
    <hyperlink ref="D41" location="SOFP!A1" display="Balance Sheet "/>
    <hyperlink ref="D42" location="SOCF!A1" display="Cashflow Statement "/>
    <hyperlink ref="D43" location="'Charts and Graphs '!A1" display="Charts and Graphs "/>
    <hyperlink ref="D44" location="'Financial Analysis'!A1" display="Financial Analysis"/>
    <hyperlink ref="D45" location="Valuation!A1" display="Valuation 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76"/>
  <sheetViews>
    <sheetView showGridLines="0" topLeftCell="B47" zoomScale="90" zoomScaleNormal="82" workbookViewId="0">
      <selection activeCell="C67" sqref="C67:C69"/>
    </sheetView>
  </sheetViews>
  <sheetFormatPr defaultRowHeight="15" x14ac:dyDescent="0.25"/>
  <cols>
    <col min="7" max="7" width="9.85546875" bestFit="1" customWidth="1"/>
    <col min="8" max="9" width="11" bestFit="1" customWidth="1"/>
    <col min="10" max="10" width="11.28515625" bestFit="1" customWidth="1"/>
    <col min="11" max="11" width="11" bestFit="1" customWidth="1"/>
    <col min="12" max="18" width="11.28515625" bestFit="1" customWidth="1"/>
  </cols>
  <sheetData>
    <row r="3" spans="2:18" x14ac:dyDescent="0.25">
      <c r="Q3" s="8" t="s">
        <v>47</v>
      </c>
      <c r="R3" s="9"/>
    </row>
    <row r="4" spans="2:18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10"/>
      <c r="O4" s="10"/>
      <c r="P4" s="10"/>
      <c r="Q4" s="10"/>
      <c r="R4" s="10"/>
    </row>
    <row r="5" spans="2:18" ht="26.25" x14ac:dyDescent="0.4">
      <c r="B5" s="7"/>
      <c r="C5" s="18" t="s">
        <v>1</v>
      </c>
      <c r="D5" s="7"/>
      <c r="E5" s="7"/>
      <c r="F5" s="7"/>
      <c r="G5" s="7"/>
      <c r="H5" s="7"/>
      <c r="I5" s="7"/>
      <c r="J5" s="7"/>
      <c r="K5" s="7"/>
      <c r="L5" s="7"/>
      <c r="M5" s="7"/>
      <c r="N5" s="10"/>
      <c r="O5" s="10"/>
      <c r="P5" s="10"/>
      <c r="Q5" s="10"/>
      <c r="R5" s="10"/>
    </row>
    <row r="6" spans="2:18" x14ac:dyDescent="0.25">
      <c r="B6" s="7"/>
      <c r="C6" s="7" t="s">
        <v>40</v>
      </c>
      <c r="D6" s="7"/>
      <c r="E6" s="7"/>
      <c r="F6" s="7"/>
      <c r="G6" s="7"/>
      <c r="H6" s="7"/>
      <c r="I6" s="13">
        <v>43466</v>
      </c>
      <c r="J6" s="13">
        <v>43831</v>
      </c>
      <c r="K6" s="13">
        <v>44197</v>
      </c>
      <c r="L6" s="13">
        <v>44562</v>
      </c>
      <c r="M6" s="13">
        <v>44927</v>
      </c>
      <c r="N6" s="19">
        <v>45292</v>
      </c>
      <c r="O6" s="19">
        <v>45658</v>
      </c>
      <c r="P6" s="19">
        <v>46023</v>
      </c>
      <c r="Q6" s="19">
        <v>46388</v>
      </c>
      <c r="R6" s="19">
        <v>46753</v>
      </c>
    </row>
    <row r="7" spans="2:18" x14ac:dyDescent="0.25">
      <c r="B7" s="7"/>
      <c r="C7" s="7" t="s">
        <v>41</v>
      </c>
      <c r="D7" s="7"/>
      <c r="E7" s="7"/>
      <c r="F7" s="7"/>
      <c r="G7" s="7"/>
      <c r="H7" s="13">
        <v>43465</v>
      </c>
      <c r="I7" s="13">
        <v>43830</v>
      </c>
      <c r="J7" s="13">
        <v>44196</v>
      </c>
      <c r="K7" s="13">
        <v>44561</v>
      </c>
      <c r="L7" s="13">
        <v>44926</v>
      </c>
      <c r="M7" s="13">
        <v>45291</v>
      </c>
      <c r="N7" s="19">
        <v>45657</v>
      </c>
      <c r="O7" s="19">
        <v>46022</v>
      </c>
      <c r="P7" s="19">
        <v>46387</v>
      </c>
      <c r="Q7" s="19">
        <v>46752</v>
      </c>
      <c r="R7" s="19">
        <v>47118</v>
      </c>
    </row>
    <row r="8" spans="2:18" x14ac:dyDescent="0.25">
      <c r="B8" s="7"/>
      <c r="C8" s="7" t="s">
        <v>42</v>
      </c>
      <c r="D8" s="7"/>
      <c r="E8" s="7"/>
      <c r="F8" s="7"/>
      <c r="G8" s="7"/>
      <c r="H8" s="7"/>
      <c r="I8" s="16">
        <v>2019</v>
      </c>
      <c r="J8" s="16">
        <v>2020</v>
      </c>
      <c r="K8" s="16">
        <v>2021</v>
      </c>
      <c r="L8" s="16">
        <v>2022</v>
      </c>
      <c r="M8" s="16">
        <v>2023</v>
      </c>
      <c r="N8" s="20">
        <v>2023</v>
      </c>
      <c r="O8" s="20">
        <v>2024</v>
      </c>
      <c r="P8" s="20">
        <v>2025</v>
      </c>
      <c r="Q8" s="20">
        <v>2026</v>
      </c>
      <c r="R8" s="20">
        <v>2027</v>
      </c>
    </row>
    <row r="9" spans="2:18" x14ac:dyDescent="0.25">
      <c r="B9" s="7"/>
      <c r="C9" s="7" t="s">
        <v>43</v>
      </c>
      <c r="D9" s="7"/>
      <c r="E9" s="7"/>
      <c r="F9" s="7"/>
      <c r="G9" s="7"/>
      <c r="H9" s="7"/>
      <c r="I9" s="7">
        <v>364</v>
      </c>
      <c r="J9" s="7">
        <v>364</v>
      </c>
      <c r="K9" s="7">
        <v>364</v>
      </c>
      <c r="L9" s="7">
        <v>364</v>
      </c>
      <c r="M9" s="7">
        <v>364</v>
      </c>
      <c r="N9" s="10">
        <v>364</v>
      </c>
      <c r="O9" s="10">
        <v>364</v>
      </c>
      <c r="P9" s="10">
        <v>364</v>
      </c>
      <c r="Q9" s="10">
        <v>364</v>
      </c>
      <c r="R9" s="10">
        <v>364</v>
      </c>
    </row>
    <row r="10" spans="2:18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10"/>
      <c r="O10" s="10"/>
      <c r="P10" s="10"/>
      <c r="Q10" s="10"/>
      <c r="R10" s="10"/>
    </row>
    <row r="14" spans="2:18" x14ac:dyDescent="0.25">
      <c r="C14" t="s">
        <v>44</v>
      </c>
      <c r="H14" t="s">
        <v>45</v>
      </c>
    </row>
    <row r="16" spans="2:18" ht="18.75" x14ac:dyDescent="0.3">
      <c r="C16" s="21" t="s">
        <v>46</v>
      </c>
      <c r="I16" t="s">
        <v>65</v>
      </c>
      <c r="J16" t="s">
        <v>65</v>
      </c>
      <c r="K16" t="s">
        <v>65</v>
      </c>
      <c r="L16" t="s">
        <v>65</v>
      </c>
      <c r="M16" t="s">
        <v>65</v>
      </c>
      <c r="N16" t="s">
        <v>65</v>
      </c>
      <c r="O16" t="s">
        <v>65</v>
      </c>
      <c r="P16" t="s">
        <v>65</v>
      </c>
      <c r="Q16" t="s">
        <v>65</v>
      </c>
      <c r="R16" t="s">
        <v>65</v>
      </c>
    </row>
    <row r="18" spans="3:18" x14ac:dyDescent="0.25">
      <c r="C18" s="1" t="s">
        <v>49</v>
      </c>
      <c r="D18" s="1"/>
      <c r="E18" s="1"/>
      <c r="F18" s="1"/>
      <c r="G18" s="1"/>
      <c r="H18" s="1"/>
      <c r="I18" s="26">
        <v>205757</v>
      </c>
      <c r="J18" s="26">
        <v>0</v>
      </c>
      <c r="K18" s="26">
        <v>0</v>
      </c>
      <c r="L18" s="26">
        <v>0</v>
      </c>
      <c r="M18" s="26">
        <v>0</v>
      </c>
      <c r="N18" s="1"/>
      <c r="O18" s="1"/>
      <c r="P18" s="1"/>
      <c r="Q18" s="1"/>
      <c r="R18" s="1"/>
    </row>
    <row r="19" spans="3:18" x14ac:dyDescent="0.25">
      <c r="C19" t="s">
        <v>50</v>
      </c>
      <c r="I19" s="22">
        <v>-236482</v>
      </c>
      <c r="J19" s="30">
        <v>0</v>
      </c>
      <c r="K19" s="30">
        <v>0</v>
      </c>
      <c r="L19" s="30">
        <v>0</v>
      </c>
      <c r="M19" s="22">
        <v>0</v>
      </c>
    </row>
    <row r="20" spans="3:18" x14ac:dyDescent="0.25">
      <c r="C20" s="1" t="s">
        <v>51</v>
      </c>
      <c r="D20" s="1"/>
      <c r="E20" s="1"/>
      <c r="F20" s="1"/>
      <c r="G20" s="1"/>
      <c r="H20" s="1"/>
      <c r="I20" s="26">
        <v>-30725</v>
      </c>
      <c r="J20" s="26">
        <v>0</v>
      </c>
      <c r="K20" s="26">
        <v>0</v>
      </c>
      <c r="L20" s="26">
        <v>0</v>
      </c>
      <c r="M20" s="26">
        <v>0</v>
      </c>
      <c r="N20" s="1"/>
      <c r="O20" s="1"/>
      <c r="P20" s="1"/>
      <c r="Q20" s="1"/>
      <c r="R20" s="1"/>
    </row>
    <row r="21" spans="3:18" x14ac:dyDescent="0.25">
      <c r="I21" s="22"/>
      <c r="J21" s="22"/>
      <c r="K21" s="22"/>
      <c r="L21" s="22"/>
      <c r="M21" s="22"/>
    </row>
    <row r="22" spans="3:18" x14ac:dyDescent="0.25">
      <c r="C22" t="s">
        <v>52</v>
      </c>
      <c r="I22" s="22">
        <v>-42588</v>
      </c>
      <c r="J22" s="22">
        <v>-142139</v>
      </c>
      <c r="K22" s="22">
        <v>-44568</v>
      </c>
      <c r="L22" s="22">
        <v>-44568</v>
      </c>
      <c r="M22" s="22">
        <v>-44568</v>
      </c>
    </row>
    <row r="23" spans="3:18" x14ac:dyDescent="0.25">
      <c r="C23" t="s">
        <v>53</v>
      </c>
      <c r="I23" s="22">
        <v>-4533</v>
      </c>
      <c r="J23" s="30">
        <v>0</v>
      </c>
      <c r="K23" s="30">
        <v>0</v>
      </c>
      <c r="L23" s="30">
        <v>0</v>
      </c>
      <c r="M23" s="22">
        <v>0</v>
      </c>
    </row>
    <row r="24" spans="3:18" x14ac:dyDescent="0.25">
      <c r="C24" t="s">
        <v>54</v>
      </c>
      <c r="I24" s="22">
        <v>-6371</v>
      </c>
      <c r="J24" s="30">
        <v>0</v>
      </c>
      <c r="K24" s="30">
        <v>0</v>
      </c>
      <c r="L24" s="30">
        <v>0</v>
      </c>
      <c r="M24" s="22">
        <v>0</v>
      </c>
    </row>
    <row r="25" spans="3:18" x14ac:dyDescent="0.25">
      <c r="C25" t="s">
        <v>55</v>
      </c>
      <c r="I25" s="22">
        <v>-84217</v>
      </c>
      <c r="J25" s="22">
        <v>-142139</v>
      </c>
      <c r="K25" s="22">
        <v>-44568</v>
      </c>
      <c r="L25" s="22">
        <v>-44568</v>
      </c>
      <c r="M25" s="22">
        <v>-44568</v>
      </c>
    </row>
    <row r="26" spans="3:18" x14ac:dyDescent="0.25">
      <c r="C26" t="s">
        <v>56</v>
      </c>
      <c r="I26" s="22">
        <v>-151</v>
      </c>
      <c r="J26" s="30">
        <v>0</v>
      </c>
      <c r="K26" s="30">
        <v>0</v>
      </c>
      <c r="L26" s="30">
        <v>0</v>
      </c>
      <c r="M26" s="22">
        <v>0</v>
      </c>
    </row>
    <row r="27" spans="3:18" x14ac:dyDescent="0.25">
      <c r="C27" s="1" t="s">
        <v>57</v>
      </c>
      <c r="D27" s="1"/>
      <c r="E27" s="1"/>
      <c r="F27" s="1"/>
      <c r="G27" s="1"/>
      <c r="H27" s="1"/>
      <c r="I27" s="26">
        <v>-84368</v>
      </c>
      <c r="J27" s="26">
        <v>-142139</v>
      </c>
      <c r="K27" s="26">
        <v>-44568</v>
      </c>
      <c r="L27" s="26">
        <v>-44568</v>
      </c>
      <c r="M27" s="26">
        <v>-44568</v>
      </c>
      <c r="N27" s="1"/>
      <c r="O27" s="1"/>
      <c r="P27" s="1"/>
      <c r="Q27" s="1"/>
      <c r="R27" s="1"/>
    </row>
    <row r="28" spans="3:18" x14ac:dyDescent="0.25">
      <c r="I28" s="22"/>
      <c r="J28" s="26"/>
      <c r="K28" s="22"/>
      <c r="L28" s="22"/>
      <c r="M28" s="22"/>
    </row>
    <row r="29" spans="3:18" x14ac:dyDescent="0.25">
      <c r="C29" s="1" t="s">
        <v>58</v>
      </c>
      <c r="D29" s="1"/>
      <c r="E29" s="1"/>
      <c r="F29" s="1"/>
      <c r="G29" s="1"/>
      <c r="H29" s="1"/>
      <c r="I29" s="26"/>
      <c r="J29" s="22"/>
      <c r="K29" s="22"/>
      <c r="L29" s="22"/>
      <c r="M29" s="22"/>
    </row>
    <row r="30" spans="3:18" x14ac:dyDescent="0.25">
      <c r="C30" t="s">
        <v>59</v>
      </c>
      <c r="I30" s="23">
        <v>0</v>
      </c>
      <c r="J30" s="22">
        <v>0</v>
      </c>
      <c r="K30" s="30">
        <v>0</v>
      </c>
      <c r="L30" s="30">
        <v>0</v>
      </c>
      <c r="M30" s="22">
        <v>0</v>
      </c>
    </row>
    <row r="31" spans="3:18" x14ac:dyDescent="0.25">
      <c r="C31" s="1" t="s">
        <v>60</v>
      </c>
      <c r="D31" s="1"/>
      <c r="E31" s="1"/>
      <c r="F31" s="1"/>
      <c r="G31" s="1"/>
      <c r="H31" s="1"/>
      <c r="I31" s="26">
        <v>-84368</v>
      </c>
      <c r="J31" s="26">
        <v>-142139</v>
      </c>
      <c r="K31" s="26">
        <v>-44568</v>
      </c>
      <c r="L31" s="26">
        <v>-44568</v>
      </c>
      <c r="M31" s="26">
        <v>-44568</v>
      </c>
      <c r="N31" s="1"/>
      <c r="O31" s="1"/>
      <c r="P31" s="1"/>
      <c r="Q31" s="1"/>
      <c r="R31" s="1"/>
    </row>
    <row r="32" spans="3:18" x14ac:dyDescent="0.25">
      <c r="I32" s="22"/>
      <c r="J32" s="22"/>
      <c r="K32" s="30"/>
      <c r="L32" s="22"/>
      <c r="M32" s="22"/>
    </row>
    <row r="33" spans="3:18" x14ac:dyDescent="0.25">
      <c r="C33" s="1" t="s">
        <v>61</v>
      </c>
      <c r="D33" s="1"/>
      <c r="E33" s="1"/>
      <c r="F33" s="1"/>
      <c r="G33" s="1"/>
      <c r="H33" s="1"/>
      <c r="I33" s="23">
        <v>0</v>
      </c>
      <c r="J33" s="30">
        <v>0</v>
      </c>
      <c r="K33" s="30">
        <v>0</v>
      </c>
      <c r="L33" s="22">
        <v>0</v>
      </c>
      <c r="M33" s="22">
        <v>0</v>
      </c>
      <c r="N33" s="1"/>
      <c r="O33" s="1"/>
      <c r="P33" s="1"/>
      <c r="Q33" s="1"/>
      <c r="R33" s="1"/>
    </row>
    <row r="34" spans="3:18" x14ac:dyDescent="0.25">
      <c r="C34" s="1" t="s">
        <v>62</v>
      </c>
      <c r="D34" s="1"/>
      <c r="E34" s="1"/>
      <c r="F34" s="1"/>
      <c r="G34" s="1"/>
      <c r="H34" s="1"/>
      <c r="I34" s="26">
        <v>-84368</v>
      </c>
      <c r="J34" s="26">
        <v>-142139</v>
      </c>
      <c r="K34" s="26">
        <v>-44568</v>
      </c>
      <c r="L34" s="26">
        <v>-44568</v>
      </c>
      <c r="M34" s="26">
        <v>-44568</v>
      </c>
      <c r="N34" s="1"/>
      <c r="O34" s="1"/>
      <c r="P34" s="1"/>
      <c r="Q34" s="1"/>
      <c r="R34" s="1"/>
    </row>
    <row r="35" spans="3:18" x14ac:dyDescent="0.25">
      <c r="I35" s="22"/>
      <c r="J35" s="22"/>
      <c r="K35" s="22"/>
      <c r="L35" s="22"/>
    </row>
    <row r="36" spans="3:18" x14ac:dyDescent="0.25">
      <c r="C36" t="s">
        <v>63</v>
      </c>
      <c r="I36" s="32">
        <v>-0.08</v>
      </c>
      <c r="J36" s="33">
        <v>-0.13</v>
      </c>
      <c r="K36" s="33">
        <v>-0.04</v>
      </c>
      <c r="L36" s="33">
        <v>-0.04</v>
      </c>
      <c r="M36" s="33">
        <v>-0.04</v>
      </c>
    </row>
    <row r="37" spans="3:18" x14ac:dyDescent="0.25">
      <c r="C37" t="s">
        <v>64</v>
      </c>
      <c r="I37" s="32">
        <v>-0.08</v>
      </c>
      <c r="J37" s="32">
        <v>0</v>
      </c>
      <c r="K37" s="32">
        <v>0</v>
      </c>
      <c r="L37" s="32">
        <v>0</v>
      </c>
      <c r="M37" s="32">
        <v>0</v>
      </c>
    </row>
    <row r="39" spans="3:18" x14ac:dyDescent="0.25">
      <c r="C39" s="1" t="s">
        <v>96</v>
      </c>
      <c r="I39" s="22">
        <v>192314</v>
      </c>
      <c r="J39" s="22">
        <v>142139</v>
      </c>
      <c r="K39" s="22">
        <v>44568</v>
      </c>
      <c r="L39" s="22">
        <v>44568</v>
      </c>
      <c r="M39" s="22">
        <v>0</v>
      </c>
    </row>
    <row r="40" spans="3:18" x14ac:dyDescent="0.25">
      <c r="C40" s="1" t="s">
        <v>164</v>
      </c>
      <c r="D40" s="1"/>
      <c r="E40" s="1"/>
      <c r="F40" s="1"/>
      <c r="G40" s="1"/>
      <c r="H40" s="1"/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3:18" x14ac:dyDescent="0.25">
      <c r="I41" s="22"/>
      <c r="J41" s="22"/>
      <c r="K41" s="22"/>
      <c r="L41" s="22"/>
    </row>
    <row r="42" spans="3:18" x14ac:dyDescent="0.25">
      <c r="I42" s="22"/>
      <c r="J42" s="22"/>
      <c r="K42" s="22"/>
      <c r="L42" s="22"/>
    </row>
    <row r="43" spans="3:18" ht="18.75" x14ac:dyDescent="0.3">
      <c r="C43" s="21" t="s">
        <v>66</v>
      </c>
      <c r="I43" s="22"/>
      <c r="J43" s="22"/>
      <c r="K43" s="22"/>
      <c r="L43" s="22"/>
    </row>
    <row r="44" spans="3:18" x14ac:dyDescent="0.25">
      <c r="I44" s="22"/>
      <c r="J44" s="22"/>
      <c r="K44" s="22"/>
      <c r="L44" s="22"/>
    </row>
    <row r="45" spans="3:18" x14ac:dyDescent="0.25">
      <c r="I45" s="22"/>
      <c r="J45" s="22"/>
      <c r="K45" s="22"/>
      <c r="L45" s="22"/>
    </row>
    <row r="46" spans="3:18" x14ac:dyDescent="0.25">
      <c r="C46" t="s">
        <v>67</v>
      </c>
      <c r="I46" s="22" t="s">
        <v>65</v>
      </c>
      <c r="J46" t="s">
        <v>65</v>
      </c>
      <c r="K46" s="22" t="s">
        <v>65</v>
      </c>
      <c r="L46" s="22" t="s">
        <v>65</v>
      </c>
      <c r="M46" t="s">
        <v>65</v>
      </c>
      <c r="N46" t="s">
        <v>65</v>
      </c>
      <c r="O46" s="22" t="s">
        <v>65</v>
      </c>
      <c r="P46" t="s">
        <v>65</v>
      </c>
      <c r="Q46" t="s">
        <v>65</v>
      </c>
      <c r="R46" s="22" t="s">
        <v>65</v>
      </c>
    </row>
    <row r="47" spans="3:18" x14ac:dyDescent="0.25">
      <c r="C47" t="s">
        <v>68</v>
      </c>
      <c r="I47" s="22"/>
      <c r="J47" s="22"/>
      <c r="K47" s="22"/>
      <c r="L47" s="22"/>
    </row>
    <row r="48" spans="3:18" x14ac:dyDescent="0.25">
      <c r="C48" t="s">
        <v>69</v>
      </c>
      <c r="I48" s="22">
        <v>1332870</v>
      </c>
      <c r="J48" s="22">
        <v>1190731</v>
      </c>
      <c r="K48" s="22">
        <v>1146163</v>
      </c>
      <c r="L48" s="22">
        <v>1101595</v>
      </c>
      <c r="M48" s="22">
        <v>1101595</v>
      </c>
    </row>
    <row r="49" spans="3:18" ht="15.75" thickBot="1" x14ac:dyDescent="0.3">
      <c r="C49" t="s">
        <v>70</v>
      </c>
      <c r="I49" s="22">
        <v>151835</v>
      </c>
      <c r="J49" s="22">
        <v>151835</v>
      </c>
      <c r="K49" s="31">
        <v>151835</v>
      </c>
      <c r="L49" s="22">
        <v>151835</v>
      </c>
      <c r="M49" s="22">
        <v>151835</v>
      </c>
    </row>
    <row r="50" spans="3:18" ht="15.75" thickTop="1" x14ac:dyDescent="0.25">
      <c r="C50" s="25"/>
      <c r="D50" s="25"/>
      <c r="E50" s="25"/>
      <c r="F50" s="25"/>
      <c r="G50" s="25"/>
      <c r="H50" s="25"/>
      <c r="I50" s="27">
        <v>1484705</v>
      </c>
      <c r="J50" s="27">
        <v>1342566</v>
      </c>
      <c r="K50" s="27">
        <v>1297998</v>
      </c>
      <c r="L50" s="27">
        <v>1253430</v>
      </c>
      <c r="M50" s="27">
        <v>1253430</v>
      </c>
      <c r="N50" s="25"/>
      <c r="O50" s="25"/>
      <c r="P50" s="25"/>
      <c r="Q50" s="25"/>
      <c r="R50" s="25"/>
    </row>
    <row r="51" spans="3:18" x14ac:dyDescent="0.25">
      <c r="C51" s="1" t="s">
        <v>71</v>
      </c>
      <c r="D51" s="1"/>
      <c r="E51" s="1"/>
      <c r="F51" s="1"/>
      <c r="G51" s="1"/>
      <c r="H51" s="1"/>
      <c r="I51" s="26"/>
      <c r="J51" s="22"/>
      <c r="K51" s="22"/>
      <c r="L51" s="22"/>
      <c r="M51" s="22"/>
      <c r="N51" s="1"/>
      <c r="O51" s="1"/>
      <c r="P51" s="1"/>
      <c r="Q51" s="1"/>
      <c r="R51" s="1"/>
    </row>
    <row r="52" spans="3:18" x14ac:dyDescent="0.25">
      <c r="C52" t="s">
        <v>72</v>
      </c>
      <c r="I52" s="22">
        <v>25830</v>
      </c>
      <c r="J52" s="30">
        <v>25830</v>
      </c>
      <c r="K52" s="22">
        <v>25830</v>
      </c>
      <c r="L52" s="30">
        <v>25830</v>
      </c>
      <c r="M52" s="30">
        <v>25830</v>
      </c>
    </row>
    <row r="53" spans="3:18" x14ac:dyDescent="0.25">
      <c r="C53" t="s">
        <v>73</v>
      </c>
      <c r="I53" s="22">
        <v>22261</v>
      </c>
      <c r="J53" s="22">
        <v>22261</v>
      </c>
      <c r="K53" s="22">
        <v>22261</v>
      </c>
      <c r="L53" s="22">
        <v>22261</v>
      </c>
      <c r="M53" s="22">
        <v>22261</v>
      </c>
    </row>
    <row r="54" spans="3:18" x14ac:dyDescent="0.25">
      <c r="C54" t="s">
        <v>74</v>
      </c>
      <c r="I54" s="22">
        <v>1057</v>
      </c>
      <c r="J54" s="22">
        <v>1057</v>
      </c>
      <c r="K54" s="22">
        <v>1057</v>
      </c>
      <c r="L54" s="22">
        <v>1057</v>
      </c>
      <c r="M54" s="22">
        <v>1057</v>
      </c>
    </row>
    <row r="55" spans="3:18" x14ac:dyDescent="0.25">
      <c r="C55" s="1"/>
      <c r="D55" s="1"/>
      <c r="E55" s="1"/>
      <c r="F55" s="1"/>
      <c r="G55" s="1"/>
      <c r="H55" s="1"/>
      <c r="I55" s="24">
        <v>49148</v>
      </c>
      <c r="J55" s="26">
        <v>49148</v>
      </c>
      <c r="K55" s="26">
        <v>49148</v>
      </c>
      <c r="L55" s="26">
        <v>49148</v>
      </c>
      <c r="M55" s="26">
        <v>49148</v>
      </c>
    </row>
    <row r="56" spans="3:18" x14ac:dyDescent="0.25">
      <c r="C56" s="1" t="s">
        <v>75</v>
      </c>
      <c r="D56" s="1"/>
      <c r="E56" s="1"/>
      <c r="F56" s="1"/>
      <c r="G56" s="1"/>
      <c r="H56" s="1"/>
      <c r="I56" s="26">
        <v>1533853</v>
      </c>
      <c r="J56" s="26">
        <v>1391714</v>
      </c>
      <c r="K56" s="26">
        <v>1347146</v>
      </c>
      <c r="L56" s="26">
        <v>1302578</v>
      </c>
      <c r="M56" s="26">
        <v>1302578</v>
      </c>
      <c r="N56" s="1"/>
      <c r="O56" s="1"/>
      <c r="P56" s="1"/>
      <c r="Q56" s="1"/>
      <c r="R56" s="1"/>
    </row>
    <row r="57" spans="3:18" x14ac:dyDescent="0.25">
      <c r="C57" s="1" t="s">
        <v>76</v>
      </c>
      <c r="D57" s="1"/>
      <c r="E57" s="1"/>
      <c r="F57" s="1"/>
      <c r="G57" s="1"/>
      <c r="H57" s="1"/>
      <c r="I57" s="26"/>
      <c r="J57" s="22"/>
      <c r="K57" s="22"/>
      <c r="L57" s="22"/>
      <c r="M57" s="22"/>
    </row>
    <row r="58" spans="3:18" x14ac:dyDescent="0.25">
      <c r="C58" s="1" t="s">
        <v>77</v>
      </c>
      <c r="I58" s="22"/>
      <c r="J58" s="22"/>
      <c r="K58" s="22"/>
      <c r="L58" s="22"/>
      <c r="M58" s="22"/>
    </row>
    <row r="59" spans="3:18" x14ac:dyDescent="0.25">
      <c r="C59" t="s">
        <v>78</v>
      </c>
      <c r="I59" s="22">
        <v>539930</v>
      </c>
      <c r="J59" s="22">
        <v>539930</v>
      </c>
      <c r="K59" s="22">
        <v>539930</v>
      </c>
      <c r="L59" s="22">
        <v>539930</v>
      </c>
      <c r="M59" s="22">
        <v>539930</v>
      </c>
    </row>
    <row r="60" spans="3:18" x14ac:dyDescent="0.25">
      <c r="C60" t="s">
        <v>79</v>
      </c>
      <c r="I60" s="22">
        <v>1224776</v>
      </c>
      <c r="J60" s="22">
        <v>1224776</v>
      </c>
      <c r="K60" s="22">
        <v>1224776</v>
      </c>
      <c r="L60" s="22">
        <v>1224776</v>
      </c>
      <c r="M60" s="22">
        <v>1224776</v>
      </c>
    </row>
    <row r="61" spans="3:18" ht="15.75" thickBot="1" x14ac:dyDescent="0.3">
      <c r="C61" t="s">
        <v>80</v>
      </c>
      <c r="I61" s="22">
        <v>-280325</v>
      </c>
      <c r="J61" s="22">
        <v>-422464</v>
      </c>
      <c r="K61" s="22">
        <v>-467032</v>
      </c>
      <c r="L61" s="22">
        <v>-511600</v>
      </c>
      <c r="M61" s="22">
        <v>-511600</v>
      </c>
    </row>
    <row r="62" spans="3:18" ht="15.75" thickTop="1" x14ac:dyDescent="0.25">
      <c r="C62" s="34" t="s">
        <v>87</v>
      </c>
      <c r="D62" s="25"/>
      <c r="E62" s="25"/>
      <c r="F62" s="25"/>
      <c r="G62" s="25"/>
      <c r="H62" s="25"/>
      <c r="I62" s="27">
        <v>1484381</v>
      </c>
      <c r="J62" s="27">
        <v>1342242</v>
      </c>
      <c r="K62" s="27">
        <v>1297674</v>
      </c>
      <c r="L62" s="27">
        <v>1253106</v>
      </c>
      <c r="M62" s="27">
        <v>1253106</v>
      </c>
      <c r="N62" s="25"/>
      <c r="O62" s="25"/>
      <c r="P62" s="25"/>
      <c r="Q62" s="25"/>
      <c r="R62" s="25"/>
    </row>
    <row r="63" spans="3:18" x14ac:dyDescent="0.25">
      <c r="I63" s="22"/>
      <c r="J63" s="22"/>
      <c r="K63" s="22"/>
      <c r="L63" s="22"/>
      <c r="M63" s="22"/>
    </row>
    <row r="64" spans="3:18" x14ac:dyDescent="0.25">
      <c r="C64" s="1" t="s">
        <v>81</v>
      </c>
      <c r="D64" s="1"/>
      <c r="E64" s="1"/>
      <c r="F64" s="1"/>
      <c r="G64" s="22"/>
      <c r="I64" s="22"/>
      <c r="J64" s="22"/>
      <c r="K64" s="22"/>
      <c r="L64" s="22"/>
      <c r="M64" s="22"/>
    </row>
    <row r="65" spans="3:18" x14ac:dyDescent="0.25">
      <c r="C65" t="s">
        <v>82</v>
      </c>
      <c r="I65" s="22">
        <v>42644</v>
      </c>
      <c r="J65" s="22">
        <v>42644</v>
      </c>
      <c r="K65" s="22">
        <v>42644</v>
      </c>
      <c r="L65" s="22">
        <v>42644</v>
      </c>
      <c r="M65" s="22">
        <v>42644</v>
      </c>
    </row>
    <row r="66" spans="3:18" x14ac:dyDescent="0.25">
      <c r="C66" s="1" t="s">
        <v>83</v>
      </c>
    </row>
    <row r="67" spans="3:18" x14ac:dyDescent="0.25">
      <c r="C67" t="s">
        <v>84</v>
      </c>
      <c r="I67" s="22">
        <v>1857</v>
      </c>
      <c r="J67" s="22">
        <v>1857</v>
      </c>
      <c r="K67" s="31">
        <v>1857</v>
      </c>
      <c r="L67" s="22">
        <v>1857</v>
      </c>
      <c r="M67" s="22">
        <v>1857</v>
      </c>
    </row>
    <row r="68" spans="3:18" x14ac:dyDescent="0.25">
      <c r="C68" t="s">
        <v>85</v>
      </c>
      <c r="I68" s="22">
        <v>4971</v>
      </c>
      <c r="J68" s="31">
        <v>4971</v>
      </c>
      <c r="K68" s="22">
        <v>4971</v>
      </c>
      <c r="L68" s="31">
        <v>4971</v>
      </c>
      <c r="M68" s="31">
        <v>4971</v>
      </c>
    </row>
    <row r="69" spans="3:18" x14ac:dyDescent="0.25">
      <c r="C69" t="s">
        <v>117</v>
      </c>
      <c r="I69" s="22">
        <v>0</v>
      </c>
      <c r="J69" s="37">
        <v>0</v>
      </c>
      <c r="K69" s="22">
        <v>0</v>
      </c>
      <c r="L69" s="37">
        <v>0</v>
      </c>
      <c r="M69" s="37">
        <v>0</v>
      </c>
    </row>
    <row r="70" spans="3:18" ht="15.75" thickBot="1" x14ac:dyDescent="0.3">
      <c r="C70" s="1"/>
      <c r="D70" s="1"/>
      <c r="E70" s="1"/>
      <c r="F70" s="1"/>
      <c r="G70" s="1"/>
      <c r="H70" s="1"/>
      <c r="I70" s="26">
        <v>6828</v>
      </c>
      <c r="J70" s="36">
        <v>6828</v>
      </c>
      <c r="K70" s="26">
        <v>6828</v>
      </c>
      <c r="L70" s="26">
        <v>6828</v>
      </c>
      <c r="M70" s="26">
        <v>6828</v>
      </c>
    </row>
    <row r="71" spans="3:18" ht="15.75" thickTop="1" x14ac:dyDescent="0.25">
      <c r="C71" s="34" t="s">
        <v>86</v>
      </c>
      <c r="D71" s="25"/>
      <c r="E71" s="25"/>
      <c r="F71" s="25"/>
      <c r="G71" s="25"/>
      <c r="H71" s="25"/>
      <c r="I71" s="27">
        <v>1533853</v>
      </c>
      <c r="J71" s="27">
        <v>1391714</v>
      </c>
      <c r="K71" s="27">
        <v>1347146</v>
      </c>
      <c r="L71" s="27">
        <v>1302578</v>
      </c>
      <c r="M71" s="27">
        <v>1302578</v>
      </c>
      <c r="N71" s="25"/>
      <c r="O71" s="25"/>
      <c r="P71" s="25"/>
      <c r="Q71" s="25"/>
      <c r="R71" s="25"/>
    </row>
    <row r="72" spans="3:18" x14ac:dyDescent="0.25">
      <c r="I72" s="22"/>
      <c r="J72" s="31"/>
      <c r="L72" s="22"/>
      <c r="M72" s="22"/>
    </row>
    <row r="73" spans="3:18" x14ac:dyDescent="0.25">
      <c r="I73" s="22"/>
      <c r="J73" s="29"/>
      <c r="L73" s="22"/>
      <c r="M73" s="22"/>
    </row>
    <row r="74" spans="3:18" x14ac:dyDescent="0.25">
      <c r="I74" s="22"/>
      <c r="J74" s="29"/>
      <c r="L74" s="22"/>
    </row>
    <row r="75" spans="3:18" x14ac:dyDescent="0.25">
      <c r="I75" s="22"/>
      <c r="J75" s="29"/>
      <c r="K75" s="29"/>
      <c r="L75" s="22"/>
    </row>
    <row r="76" spans="3:18" x14ac:dyDescent="0.25">
      <c r="J76" s="29"/>
    </row>
  </sheetData>
  <hyperlinks>
    <hyperlink ref="Q3" location="'Model Guide'!A1" display="MODEL GUIDE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90"/>
  <sheetViews>
    <sheetView showGridLines="0" topLeftCell="A2" zoomScale="71" zoomScaleNormal="100" workbookViewId="0">
      <selection activeCell="L12" sqref="L12"/>
    </sheetView>
  </sheetViews>
  <sheetFormatPr defaultRowHeight="15" x14ac:dyDescent="0.25"/>
  <cols>
    <col min="8" max="8" width="9.7109375" bestFit="1" customWidth="1"/>
    <col min="9" max="18" width="10.5703125" bestFit="1" customWidth="1"/>
  </cols>
  <sheetData>
    <row r="2" spans="2:18" x14ac:dyDescent="0.25">
      <c r="Q2" s="8" t="s">
        <v>47</v>
      </c>
      <c r="R2" s="9"/>
    </row>
    <row r="3" spans="2:18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10"/>
      <c r="O3" s="10"/>
      <c r="P3" s="10"/>
      <c r="Q3" s="10"/>
      <c r="R3" s="10"/>
    </row>
    <row r="4" spans="2:18" ht="26.25" x14ac:dyDescent="0.4">
      <c r="B4" s="7"/>
      <c r="C4" s="18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10"/>
      <c r="O4" s="10"/>
      <c r="P4" s="10"/>
      <c r="Q4" s="10"/>
      <c r="R4" s="10"/>
    </row>
    <row r="5" spans="2:18" x14ac:dyDescent="0.25">
      <c r="B5" s="7"/>
      <c r="C5" s="7" t="s">
        <v>40</v>
      </c>
      <c r="D5" s="7"/>
      <c r="E5" s="7"/>
      <c r="F5" s="7"/>
      <c r="G5" s="7"/>
      <c r="H5" s="7"/>
      <c r="I5" s="13">
        <v>43466</v>
      </c>
      <c r="J5" s="13">
        <v>43831</v>
      </c>
      <c r="K5" s="13">
        <v>44197</v>
      </c>
      <c r="L5" s="13">
        <v>44562</v>
      </c>
      <c r="M5" s="13">
        <v>44927</v>
      </c>
      <c r="N5" s="19">
        <v>45292</v>
      </c>
      <c r="O5" s="19">
        <v>45658</v>
      </c>
      <c r="P5" s="19">
        <v>46023</v>
      </c>
      <c r="Q5" s="19">
        <v>46388</v>
      </c>
      <c r="R5" s="19">
        <v>46753</v>
      </c>
    </row>
    <row r="6" spans="2:18" x14ac:dyDescent="0.25">
      <c r="B6" s="7"/>
      <c r="C6" s="7" t="s">
        <v>41</v>
      </c>
      <c r="D6" s="7"/>
      <c r="E6" s="7"/>
      <c r="F6" s="7"/>
      <c r="G6" s="7"/>
      <c r="H6" s="13">
        <v>43465</v>
      </c>
      <c r="I6" s="13">
        <v>43830</v>
      </c>
      <c r="J6" s="13">
        <v>44196</v>
      </c>
      <c r="K6" s="13">
        <v>44561</v>
      </c>
      <c r="L6" s="13">
        <v>44926</v>
      </c>
      <c r="M6" s="13">
        <v>45291</v>
      </c>
      <c r="N6" s="19">
        <v>45657</v>
      </c>
      <c r="O6" s="19">
        <v>46022</v>
      </c>
      <c r="P6" s="19">
        <v>46387</v>
      </c>
      <c r="Q6" s="19">
        <v>46752</v>
      </c>
      <c r="R6" s="19">
        <v>47118</v>
      </c>
    </row>
    <row r="7" spans="2:18" x14ac:dyDescent="0.25">
      <c r="B7" s="7"/>
      <c r="C7" s="7" t="s">
        <v>42</v>
      </c>
      <c r="D7" s="7"/>
      <c r="E7" s="7"/>
      <c r="F7" s="7"/>
      <c r="G7" s="7"/>
      <c r="H7" s="7"/>
      <c r="I7" s="16">
        <v>2019</v>
      </c>
      <c r="J7" s="16">
        <v>2020</v>
      </c>
      <c r="K7" s="16">
        <v>2021</v>
      </c>
      <c r="L7" s="16">
        <v>2022</v>
      </c>
      <c r="M7" s="16">
        <v>2023</v>
      </c>
      <c r="N7" s="20">
        <v>2023</v>
      </c>
      <c r="O7" s="20">
        <v>2024</v>
      </c>
      <c r="P7" s="20">
        <v>2025</v>
      </c>
      <c r="Q7" s="20">
        <v>2026</v>
      </c>
      <c r="R7" s="20">
        <v>2027</v>
      </c>
    </row>
    <row r="8" spans="2:18" x14ac:dyDescent="0.25">
      <c r="B8" s="7"/>
      <c r="C8" s="7" t="s">
        <v>43</v>
      </c>
      <c r="D8" s="7"/>
      <c r="E8" s="7"/>
      <c r="F8" s="7"/>
      <c r="G8" s="7"/>
      <c r="H8" s="7"/>
      <c r="I8" s="7">
        <v>364</v>
      </c>
      <c r="J8" s="7">
        <v>364</v>
      </c>
      <c r="K8" s="7">
        <v>364</v>
      </c>
      <c r="L8" s="7">
        <v>364</v>
      </c>
      <c r="M8" s="7">
        <v>364</v>
      </c>
      <c r="N8" s="10">
        <v>364</v>
      </c>
      <c r="O8" s="10">
        <v>364</v>
      </c>
      <c r="P8" s="10">
        <v>364</v>
      </c>
      <c r="Q8" s="10">
        <v>364</v>
      </c>
      <c r="R8" s="10">
        <v>364</v>
      </c>
    </row>
    <row r="9" spans="2:18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10"/>
      <c r="O9" s="10"/>
      <c r="P9" s="10"/>
      <c r="Q9" s="10"/>
      <c r="R9" s="10"/>
    </row>
    <row r="13" spans="2:18" ht="17.25" x14ac:dyDescent="0.3">
      <c r="C13" s="38" t="s">
        <v>44</v>
      </c>
      <c r="G13" s="38" t="s">
        <v>45</v>
      </c>
    </row>
    <row r="15" spans="2:18" ht="16.5" thickBot="1" x14ac:dyDescent="0.3">
      <c r="C15" s="44" t="s">
        <v>127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</row>
    <row r="16" spans="2:18" ht="15.75" thickTop="1" x14ac:dyDescent="0.25">
      <c r="C16" s="1" t="s">
        <v>49</v>
      </c>
      <c r="G16" s="40" t="s">
        <v>120</v>
      </c>
      <c r="I16" s="39">
        <v>0</v>
      </c>
      <c r="J16" s="39">
        <f>IS!J17/IS!I17-1</f>
        <v>-1</v>
      </c>
      <c r="K16" s="39">
        <f>IF(A2=0,0,(B2-A2)/A2)</f>
        <v>0</v>
      </c>
      <c r="L16" s="39">
        <f>IF(B2=0,0,(C2-B2)/B2)</f>
        <v>0</v>
      </c>
      <c r="M16" s="39">
        <f>IF(C2=0,0,(D2-C2)/C2)</f>
        <v>0</v>
      </c>
      <c r="N16" s="41">
        <v>0</v>
      </c>
      <c r="O16" s="41">
        <v>0</v>
      </c>
      <c r="P16" s="41">
        <v>0</v>
      </c>
      <c r="Q16" s="41">
        <v>0</v>
      </c>
      <c r="R16" s="41">
        <v>0</v>
      </c>
    </row>
    <row r="17" spans="3:19" x14ac:dyDescent="0.25">
      <c r="C17" t="s">
        <v>50</v>
      </c>
      <c r="G17" s="40" t="s">
        <v>121</v>
      </c>
      <c r="I17" s="39">
        <f>-(IS!I18/IS!I17)</f>
        <v>1.1493266328727576</v>
      </c>
      <c r="J17" s="39">
        <f t="shared" ref="J17:M17" si="0">IF(A2=0,0,(B2-A2)/A2)</f>
        <v>0</v>
      </c>
      <c r="K17" s="39">
        <f t="shared" si="0"/>
        <v>0</v>
      </c>
      <c r="L17" s="39">
        <f t="shared" si="0"/>
        <v>0</v>
      </c>
      <c r="M17" s="39">
        <f t="shared" si="0"/>
        <v>0</v>
      </c>
      <c r="N17" s="41">
        <v>0</v>
      </c>
      <c r="O17" s="41">
        <v>0</v>
      </c>
      <c r="P17" s="41">
        <v>0</v>
      </c>
      <c r="Q17" s="41">
        <v>0</v>
      </c>
      <c r="R17" s="41">
        <v>0</v>
      </c>
    </row>
    <row r="18" spans="3:19" x14ac:dyDescent="0.25">
      <c r="C18" s="23" t="s">
        <v>88</v>
      </c>
      <c r="G18" s="40" t="s">
        <v>121</v>
      </c>
      <c r="I18" s="39">
        <f>-(IS!I21/IS!I17)</f>
        <v>0.2290128646899012</v>
      </c>
      <c r="J18" s="39">
        <v>0</v>
      </c>
      <c r="K18" s="39">
        <f t="shared" ref="K18" si="1">IF(B3=0,0,(C3-B3)/B3)</f>
        <v>0</v>
      </c>
      <c r="L18" s="39">
        <f t="shared" ref="L18" si="2">IF(C3=0,0,(D3-C3)/C3)</f>
        <v>0</v>
      </c>
      <c r="M18" s="39">
        <f t="shared" ref="M18" si="3">IF(D3=0,0,(E3-D3)/D3)</f>
        <v>0</v>
      </c>
      <c r="N18" s="41">
        <v>0</v>
      </c>
      <c r="O18" s="41">
        <v>0</v>
      </c>
      <c r="P18" s="41">
        <v>0</v>
      </c>
      <c r="Q18" s="41">
        <v>0</v>
      </c>
      <c r="R18" s="41">
        <v>0</v>
      </c>
    </row>
    <row r="19" spans="3:19" x14ac:dyDescent="0.25">
      <c r="C19" t="s">
        <v>90</v>
      </c>
      <c r="G19" s="40" t="s">
        <v>122</v>
      </c>
      <c r="I19" s="39">
        <f>IS!I24/SOFP!I27</f>
        <v>0.14428563925964272</v>
      </c>
      <c r="J19" s="39">
        <f>IS!J24/SOFP!J27</f>
        <v>0.11937120978625734</v>
      </c>
      <c r="K19" s="39">
        <f>IS!K24/SOFP!K27</f>
        <v>3.8884521660531704E-2</v>
      </c>
      <c r="L19" s="39">
        <f>IS!L24/SOFP!L27</f>
        <v>4.0457699971405102E-2</v>
      </c>
      <c r="M19" s="39">
        <f>IS!M24/SOFP!M27</f>
        <v>0</v>
      </c>
      <c r="N19" s="41">
        <v>0</v>
      </c>
      <c r="O19" s="41">
        <f>AVERAGE(M19:N19)</f>
        <v>0</v>
      </c>
      <c r="P19" s="41">
        <f>AVERAGE(K19:L19)</f>
        <v>3.9671110815968399E-2</v>
      </c>
      <c r="Q19" s="41">
        <f ca="1">AVERAGE(J19:R19)</f>
        <v>4.0516788737952718E-2</v>
      </c>
      <c r="R19" s="41">
        <f>AVERAGE(I19:L19)</f>
        <v>8.5749767669459201E-2</v>
      </c>
    </row>
    <row r="20" spans="3:19" x14ac:dyDescent="0.25">
      <c r="C20" t="s">
        <v>92</v>
      </c>
      <c r="G20" s="40" t="s">
        <v>124</v>
      </c>
      <c r="I20" s="39">
        <f>-IS!I27/(SOFP!I39)</f>
        <v>0.14939968108057405</v>
      </c>
      <c r="J20" s="39">
        <f>-IS!J27/(SOFP!J39)</f>
        <v>0</v>
      </c>
      <c r="K20" s="39">
        <f>-IS!K27/(SOFP!K39)</f>
        <v>0</v>
      </c>
      <c r="L20" s="39">
        <f>-IS!L27/(SOFP!L39)</f>
        <v>0</v>
      </c>
      <c r="M20" s="39">
        <f>-IS!M27/(SOFP!M39)</f>
        <v>0</v>
      </c>
      <c r="N20" s="41">
        <v>0</v>
      </c>
      <c r="O20" s="41">
        <v>0</v>
      </c>
      <c r="P20" s="41">
        <v>0</v>
      </c>
      <c r="Q20" s="41">
        <v>0</v>
      </c>
      <c r="R20" s="41">
        <v>0</v>
      </c>
    </row>
    <row r="21" spans="3:19" x14ac:dyDescent="0.25">
      <c r="C21" t="s">
        <v>94</v>
      </c>
      <c r="G21" s="40" t="s">
        <v>123</v>
      </c>
      <c r="I21" s="39">
        <f>IS!I30/IS!I28</f>
        <v>1.7929871641117589E-3</v>
      </c>
      <c r="J21" s="39">
        <f>IS!J30/IS!J28</f>
        <v>0</v>
      </c>
      <c r="K21" s="39">
        <f>IS!K30/IS!K28</f>
        <v>0</v>
      </c>
      <c r="L21" s="39">
        <f>IS!L30/IS!L28</f>
        <v>0</v>
      </c>
      <c r="M21" s="39">
        <f>IS!M30/IS!M28</f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</row>
    <row r="26" spans="3:19" x14ac:dyDescent="0.25">
      <c r="F26" s="43"/>
    </row>
    <row r="27" spans="3:19" ht="16.5" thickBot="1" x14ac:dyDescent="0.3">
      <c r="C27" s="44" t="s">
        <v>126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</row>
    <row r="28" spans="3:19" ht="15.75" thickTop="1" x14ac:dyDescent="0.25">
      <c r="C28" t="s">
        <v>72</v>
      </c>
      <c r="G28" s="48" t="s">
        <v>148</v>
      </c>
      <c r="I28">
        <v>25830</v>
      </c>
      <c r="J28">
        <v>25831</v>
      </c>
      <c r="K28">
        <v>25832</v>
      </c>
      <c r="L28">
        <v>25833</v>
      </c>
      <c r="M28">
        <v>25834</v>
      </c>
      <c r="N28">
        <f>AVERAGE(I28:M28)</f>
        <v>25832</v>
      </c>
      <c r="O28">
        <f t="shared" ref="O28:R28" si="4">AVERAGE(J28:N28)</f>
        <v>25832.400000000001</v>
      </c>
      <c r="P28">
        <f t="shared" si="4"/>
        <v>25832.68</v>
      </c>
      <c r="Q28">
        <f t="shared" si="4"/>
        <v>25832.815999999999</v>
      </c>
      <c r="R28">
        <f t="shared" si="4"/>
        <v>25832.779199999997</v>
      </c>
    </row>
    <row r="29" spans="3:19" x14ac:dyDescent="0.25">
      <c r="C29" t="s">
        <v>73</v>
      </c>
      <c r="G29" s="48" t="s">
        <v>148</v>
      </c>
      <c r="I29" s="22">
        <f>SOFP!I23</f>
        <v>22261</v>
      </c>
      <c r="J29" s="22">
        <f>SOFP!J23</f>
        <v>22261</v>
      </c>
      <c r="K29" s="22">
        <f>SOFP!K23</f>
        <v>22261</v>
      </c>
      <c r="L29" s="22">
        <f>SOFP!L23</f>
        <v>22261</v>
      </c>
      <c r="M29" s="22">
        <f>SOFP!M23</f>
        <v>22261</v>
      </c>
      <c r="N29" s="22">
        <f>AVERAGE(I29:M29)</f>
        <v>22261</v>
      </c>
      <c r="O29" s="22">
        <f t="shared" ref="O29:R29" si="5">AVERAGE(J29:N29)</f>
        <v>22261</v>
      </c>
      <c r="P29" s="22">
        <f t="shared" si="5"/>
        <v>22261</v>
      </c>
      <c r="Q29" s="22">
        <f t="shared" si="5"/>
        <v>22261</v>
      </c>
      <c r="R29" s="22">
        <f t="shared" si="5"/>
        <v>22261</v>
      </c>
      <c r="S29" s="22"/>
    </row>
    <row r="30" spans="3:19" x14ac:dyDescent="0.25">
      <c r="G30" s="40"/>
    </row>
    <row r="31" spans="3:19" x14ac:dyDescent="0.25">
      <c r="C31" t="s">
        <v>100</v>
      </c>
      <c r="G31" s="40" t="s">
        <v>157</v>
      </c>
      <c r="I31" s="22">
        <f>SOFP!I27</f>
        <v>1332870</v>
      </c>
      <c r="J31" s="22">
        <f>SOFP!J27</f>
        <v>1190731</v>
      </c>
      <c r="K31" s="22">
        <f>SOFP!K27</f>
        <v>1146163</v>
      </c>
      <c r="L31" s="22">
        <f>SOFP!L27</f>
        <v>1101595</v>
      </c>
      <c r="M31" s="22">
        <f>SOFP!M27</f>
        <v>1101595</v>
      </c>
      <c r="N31" s="22">
        <f>N59</f>
        <v>1101595</v>
      </c>
      <c r="O31" s="22">
        <f t="shared" ref="O31:R31" si="6">O59</f>
        <v>1101595</v>
      </c>
      <c r="P31" s="22">
        <f t="shared" si="6"/>
        <v>1188997.9946386334</v>
      </c>
      <c r="Q31" s="22">
        <f t="shared" ca="1" si="6"/>
        <v>1101595</v>
      </c>
      <c r="R31" s="22">
        <f t="shared" ca="1" si="6"/>
        <v>1101595</v>
      </c>
    </row>
    <row r="32" spans="3:19" x14ac:dyDescent="0.25">
      <c r="C32" s="23" t="s">
        <v>101</v>
      </c>
      <c r="G32" s="40" t="s">
        <v>157</v>
      </c>
      <c r="I32" s="22">
        <f>SOFP!I28</f>
        <v>151835</v>
      </c>
      <c r="J32" s="22">
        <f>SOFP!J28</f>
        <v>151835</v>
      </c>
      <c r="K32" s="22">
        <f>SOFP!K28</f>
        <v>151835</v>
      </c>
      <c r="L32" s="22">
        <f>SOFP!L28</f>
        <v>151835</v>
      </c>
      <c r="M32" s="22">
        <f>SOFP!M28</f>
        <v>151835</v>
      </c>
      <c r="N32" s="22">
        <f>$M32</f>
        <v>151835</v>
      </c>
      <c r="O32" s="22">
        <f t="shared" ref="O32:R32" si="7">$M32</f>
        <v>151835</v>
      </c>
      <c r="P32" s="22">
        <f t="shared" si="7"/>
        <v>151835</v>
      </c>
      <c r="Q32" s="22">
        <f t="shared" si="7"/>
        <v>151835</v>
      </c>
      <c r="R32" s="22">
        <f t="shared" si="7"/>
        <v>151835</v>
      </c>
    </row>
    <row r="33" spans="3:18" x14ac:dyDescent="0.25">
      <c r="G33" s="40"/>
    </row>
    <row r="34" spans="3:18" x14ac:dyDescent="0.25">
      <c r="C34" s="23" t="s">
        <v>104</v>
      </c>
      <c r="G34" s="40" t="s">
        <v>159</v>
      </c>
      <c r="I34" s="22">
        <f>SOFP!I34</f>
        <v>1857</v>
      </c>
      <c r="J34" s="22">
        <f>SOFP!J34</f>
        <v>1857</v>
      </c>
      <c r="K34" s="22">
        <f>SOFP!K34</f>
        <v>1857</v>
      </c>
      <c r="L34" s="22">
        <f>SOFP!L34</f>
        <v>1857</v>
      </c>
      <c r="M34" s="22">
        <f>SOFP!M34</f>
        <v>1857</v>
      </c>
      <c r="N34" s="22">
        <f>AVERAGE(I34:M34)</f>
        <v>1857</v>
      </c>
      <c r="O34" s="22">
        <f t="shared" ref="O34:R34" si="8">AVERAGE(J34:N34)</f>
        <v>1857</v>
      </c>
      <c r="P34" s="22">
        <f t="shared" si="8"/>
        <v>1857</v>
      </c>
      <c r="Q34" s="22">
        <f t="shared" si="8"/>
        <v>1857</v>
      </c>
      <c r="R34" s="22">
        <f t="shared" si="8"/>
        <v>1857</v>
      </c>
    </row>
    <row r="35" spans="3:18" x14ac:dyDescent="0.25">
      <c r="C35" s="23" t="s">
        <v>105</v>
      </c>
      <c r="G35" s="40" t="s">
        <v>159</v>
      </c>
      <c r="I35" s="22">
        <f>SOFP!I35</f>
        <v>4971</v>
      </c>
      <c r="J35" s="22">
        <f>SOFP!J35</f>
        <v>4971</v>
      </c>
      <c r="K35" s="22">
        <f>SOFP!K35</f>
        <v>4971</v>
      </c>
      <c r="L35" s="22">
        <f>SOFP!L35</f>
        <v>4971</v>
      </c>
      <c r="M35" s="22">
        <f>SOFP!M35</f>
        <v>4971</v>
      </c>
      <c r="N35" s="22">
        <f>AVERAGE(I35:M35)</f>
        <v>4971</v>
      </c>
      <c r="O35" s="22">
        <f t="shared" ref="O35:R35" si="9">AVERAGE(J35:N35)</f>
        <v>4971</v>
      </c>
      <c r="P35" s="22">
        <f t="shared" si="9"/>
        <v>4971</v>
      </c>
      <c r="Q35" s="22">
        <f t="shared" si="9"/>
        <v>4971</v>
      </c>
      <c r="R35" s="22">
        <f t="shared" si="9"/>
        <v>4971</v>
      </c>
    </row>
    <row r="36" spans="3:18" x14ac:dyDescent="0.25">
      <c r="G36" s="40"/>
    </row>
    <row r="37" spans="3:18" x14ac:dyDescent="0.25">
      <c r="C37" t="s">
        <v>108</v>
      </c>
      <c r="G37" s="40" t="s">
        <v>158</v>
      </c>
      <c r="I37" s="22">
        <f>SOFP!I39</f>
        <v>42644</v>
      </c>
      <c r="J37" s="22">
        <f>SOFP!J39</f>
        <v>42644</v>
      </c>
      <c r="K37" s="22">
        <f>SOFP!K39</f>
        <v>42644</v>
      </c>
      <c r="L37" s="22">
        <f>SOFP!L39</f>
        <v>42644</v>
      </c>
      <c r="M37" s="22">
        <f>SOFP!M39</f>
        <v>42644</v>
      </c>
      <c r="N37" s="22">
        <f>M37</f>
        <v>42644</v>
      </c>
      <c r="O37" s="22">
        <f t="shared" ref="O37:R37" si="10">N37</f>
        <v>42644</v>
      </c>
      <c r="P37" s="22">
        <f t="shared" si="10"/>
        <v>42644</v>
      </c>
      <c r="Q37" s="22">
        <f t="shared" si="10"/>
        <v>42644</v>
      </c>
      <c r="R37" s="22">
        <f t="shared" si="10"/>
        <v>42644</v>
      </c>
    </row>
    <row r="38" spans="3:18" x14ac:dyDescent="0.25">
      <c r="G38" s="40"/>
      <c r="N38" s="22"/>
      <c r="O38" s="22"/>
      <c r="P38" s="22"/>
      <c r="Q38" s="22"/>
      <c r="R38" s="22"/>
    </row>
    <row r="39" spans="3:18" x14ac:dyDescent="0.25">
      <c r="C39" t="s">
        <v>112</v>
      </c>
      <c r="G39" s="40" t="s">
        <v>158</v>
      </c>
      <c r="I39" s="22">
        <f>SOFP!I44</f>
        <v>539930</v>
      </c>
      <c r="J39" s="22">
        <f>SOFP!J44</f>
        <v>539930</v>
      </c>
      <c r="K39" s="22">
        <f>SOFP!K44</f>
        <v>539930</v>
      </c>
      <c r="L39" s="22">
        <f>SOFP!L44</f>
        <v>539930</v>
      </c>
      <c r="M39" s="22">
        <f>SOFP!M44</f>
        <v>539930</v>
      </c>
      <c r="N39" s="22">
        <f t="shared" ref="N39:R40" si="11">M39</f>
        <v>539930</v>
      </c>
      <c r="O39" s="22">
        <f t="shared" si="11"/>
        <v>539930</v>
      </c>
      <c r="P39" s="22">
        <f t="shared" si="11"/>
        <v>539930</v>
      </c>
      <c r="Q39" s="22">
        <f t="shared" si="11"/>
        <v>539930</v>
      </c>
      <c r="R39" s="22">
        <f t="shared" si="11"/>
        <v>539930</v>
      </c>
    </row>
    <row r="40" spans="3:18" x14ac:dyDescent="0.25">
      <c r="C40" t="s">
        <v>113</v>
      </c>
      <c r="G40" s="40" t="s">
        <v>158</v>
      </c>
      <c r="I40" s="22">
        <f>SOFP!I45</f>
        <v>1224776</v>
      </c>
      <c r="J40" s="22">
        <f>SOFP!J45</f>
        <v>1224776</v>
      </c>
      <c r="K40" s="22">
        <f>SOFP!K45</f>
        <v>1224776</v>
      </c>
      <c r="L40" s="22">
        <f>SOFP!L45</f>
        <v>1224776</v>
      </c>
      <c r="M40" s="22">
        <f>SOFP!M45</f>
        <v>1224776</v>
      </c>
      <c r="N40" s="22">
        <f t="shared" si="11"/>
        <v>1224776</v>
      </c>
      <c r="O40" s="22">
        <f t="shared" si="11"/>
        <v>1224776</v>
      </c>
      <c r="P40" s="22">
        <f t="shared" si="11"/>
        <v>1224776</v>
      </c>
      <c r="Q40" s="22">
        <f t="shared" si="11"/>
        <v>1224776</v>
      </c>
      <c r="R40" s="22">
        <f t="shared" si="11"/>
        <v>1224776</v>
      </c>
    </row>
    <row r="41" spans="3:18" x14ac:dyDescent="0.25">
      <c r="C41" t="s">
        <v>114</v>
      </c>
      <c r="G41" s="40"/>
      <c r="I41" s="22">
        <f>'Historical Data'!I61</f>
        <v>-280325</v>
      </c>
      <c r="J41" s="22">
        <f>'Historical Data'!J61</f>
        <v>-422464</v>
      </c>
      <c r="K41" s="22">
        <f>'Historical Data'!K61</f>
        <v>-467032</v>
      </c>
      <c r="L41" s="22">
        <f>'Historical Data'!L61</f>
        <v>-511600</v>
      </c>
      <c r="M41" s="22">
        <f>'Historical Data'!M61</f>
        <v>-511600</v>
      </c>
      <c r="N41" s="22">
        <f>N68</f>
        <v>-556168</v>
      </c>
      <c r="O41" s="22">
        <f t="shared" ref="O41:R41" si="12">O68</f>
        <v>-600736</v>
      </c>
      <c r="P41" s="22">
        <f t="shared" si="12"/>
        <v>-689005.49731931672</v>
      </c>
      <c r="Q41" s="22">
        <f t="shared" ca="1" si="12"/>
        <v>-689872</v>
      </c>
      <c r="R41" s="22">
        <f t="shared" ca="1" si="12"/>
        <v>-734440</v>
      </c>
    </row>
    <row r="42" spans="3:18" x14ac:dyDescent="0.25">
      <c r="G42" s="40"/>
    </row>
    <row r="43" spans="3:18" x14ac:dyDescent="0.25">
      <c r="G43" s="40"/>
    </row>
    <row r="44" spans="3:18" x14ac:dyDescent="0.25">
      <c r="G44" s="40"/>
    </row>
    <row r="45" spans="3:18" ht="19.5" x14ac:dyDescent="0.3">
      <c r="C45" s="52" t="s">
        <v>149</v>
      </c>
      <c r="D45" s="50"/>
      <c r="E45" s="50"/>
      <c r="F45" s="50"/>
      <c r="G45" s="51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</row>
    <row r="46" spans="3:18" ht="19.5" x14ac:dyDescent="0.3">
      <c r="C46" s="57"/>
      <c r="D46" s="53"/>
      <c r="E46" s="53"/>
      <c r="F46" s="53"/>
      <c r="G46" s="54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</row>
    <row r="47" spans="3:18" ht="19.5" x14ac:dyDescent="0.3">
      <c r="C47" s="57"/>
      <c r="D47" s="53"/>
      <c r="E47" s="53"/>
      <c r="F47" s="53"/>
      <c r="G47" s="54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</row>
    <row r="48" spans="3:18" ht="19.5" x14ac:dyDescent="0.3">
      <c r="C48" s="57"/>
      <c r="D48" s="53"/>
      <c r="E48" s="53"/>
      <c r="F48" s="53"/>
      <c r="G48" s="54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</row>
    <row r="49" spans="3:18" ht="15.75" thickBot="1" x14ac:dyDescent="0.3">
      <c r="C49" s="55" t="s">
        <v>150</v>
      </c>
      <c r="D49" s="45"/>
      <c r="E49" s="45"/>
      <c r="F49" s="45"/>
      <c r="G49" s="56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</row>
    <row r="50" spans="3:18" ht="15.75" thickTop="1" x14ac:dyDescent="0.25">
      <c r="C50" s="1" t="s">
        <v>155</v>
      </c>
      <c r="E50" s="53"/>
      <c r="F50" s="53"/>
      <c r="G50" s="54"/>
      <c r="H50" s="53"/>
      <c r="I50" s="59"/>
      <c r="J50" s="59"/>
      <c r="K50" s="59"/>
      <c r="L50" s="59"/>
      <c r="M50" s="59"/>
      <c r="N50" s="63">
        <v>3</v>
      </c>
      <c r="O50" s="63">
        <v>3</v>
      </c>
      <c r="P50" s="63">
        <v>3</v>
      </c>
      <c r="Q50" s="63">
        <v>3</v>
      </c>
      <c r="R50" s="63">
        <v>3</v>
      </c>
    </row>
    <row r="51" spans="3:18" x14ac:dyDescent="0.25">
      <c r="C51" s="58" t="s">
        <v>154</v>
      </c>
      <c r="D51" s="53"/>
      <c r="E51" s="53"/>
      <c r="F51" s="53"/>
      <c r="G51" s="54"/>
      <c r="H51" s="53"/>
      <c r="I51" s="59"/>
      <c r="J51" s="59"/>
      <c r="K51" s="59"/>
      <c r="L51" s="59"/>
      <c r="M51" s="59"/>
      <c r="N51" s="53">
        <v>0</v>
      </c>
      <c r="O51" s="53">
        <v>0</v>
      </c>
      <c r="P51" s="53">
        <v>0</v>
      </c>
      <c r="Q51" s="53">
        <v>0</v>
      </c>
      <c r="R51" s="53">
        <v>0</v>
      </c>
    </row>
    <row r="52" spans="3:18" x14ac:dyDescent="0.25">
      <c r="C52" s="53"/>
      <c r="D52" s="53"/>
      <c r="E52" s="53"/>
      <c r="F52" s="53"/>
      <c r="G52" s="54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</row>
    <row r="53" spans="3:18" x14ac:dyDescent="0.25">
      <c r="C53" s="53"/>
      <c r="D53" s="53"/>
      <c r="E53" s="53"/>
      <c r="F53" s="53"/>
      <c r="G53" s="54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</row>
    <row r="54" spans="3:18" x14ac:dyDescent="0.25">
      <c r="C54" s="53"/>
      <c r="D54" s="53"/>
      <c r="E54" s="53"/>
      <c r="F54" s="53"/>
      <c r="G54" s="54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</row>
    <row r="55" spans="3:18" ht="15.75" thickBot="1" x14ac:dyDescent="0.3">
      <c r="C55" s="55" t="s">
        <v>150</v>
      </c>
      <c r="D55" s="45"/>
      <c r="E55" s="45"/>
      <c r="F55" s="45"/>
      <c r="G55" s="56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</row>
    <row r="56" spans="3:18" ht="15.75" thickTop="1" x14ac:dyDescent="0.25">
      <c r="C56" t="s">
        <v>151</v>
      </c>
      <c r="G56" s="40"/>
      <c r="I56" s="59"/>
      <c r="J56" s="59"/>
      <c r="K56" s="59"/>
      <c r="L56" s="59"/>
      <c r="M56" s="59"/>
      <c r="N56" s="22">
        <f>M59</f>
        <v>1101595</v>
      </c>
      <c r="O56" s="22">
        <f t="shared" ref="O56:Q56" si="13">N59</f>
        <v>1101595</v>
      </c>
      <c r="P56" s="22">
        <f t="shared" si="13"/>
        <v>1101595</v>
      </c>
      <c r="Q56" s="22">
        <f t="shared" si="13"/>
        <v>1188997.9946386334</v>
      </c>
      <c r="R56" s="22">
        <f ca="1">Q59</f>
        <v>1101595</v>
      </c>
    </row>
    <row r="57" spans="3:18" x14ac:dyDescent="0.25">
      <c r="C57" t="s">
        <v>152</v>
      </c>
      <c r="G57" s="40"/>
      <c r="I57" s="59"/>
      <c r="J57" s="59"/>
      <c r="K57" s="59"/>
      <c r="L57" s="59"/>
      <c r="M57" s="59"/>
      <c r="N57">
        <f>(N58*N50)+N51</f>
        <v>0</v>
      </c>
      <c r="O57">
        <f t="shared" ref="O57:P57" si="14">(O58*O50)+O51</f>
        <v>0</v>
      </c>
      <c r="P57">
        <f t="shared" si="14"/>
        <v>131104.49195795011</v>
      </c>
      <c r="Q57">
        <f ca="1">(Q58*Q50)+Q51</f>
        <v>0</v>
      </c>
      <c r="R57">
        <f ca="1">(R58*R50)+R51</f>
        <v>0</v>
      </c>
    </row>
    <row r="58" spans="3:18" ht="15.75" thickBot="1" x14ac:dyDescent="0.3">
      <c r="C58" t="s">
        <v>153</v>
      </c>
      <c r="G58" s="40"/>
      <c r="I58" s="59"/>
      <c r="J58" s="59"/>
      <c r="K58" s="59"/>
      <c r="L58" s="59"/>
      <c r="M58" s="59"/>
      <c r="N58">
        <f>N56*N19</f>
        <v>0</v>
      </c>
      <c r="O58">
        <f t="shared" ref="O58:Q58" si="15">O56*O19</f>
        <v>0</v>
      </c>
      <c r="P58">
        <f t="shared" si="15"/>
        <v>43701.49731931671</v>
      </c>
      <c r="Q58">
        <f t="shared" ca="1" si="15"/>
        <v>0</v>
      </c>
      <c r="R58">
        <f ca="1">R56*R19</f>
        <v>0</v>
      </c>
    </row>
    <row r="59" spans="3:18" x14ac:dyDescent="0.25">
      <c r="C59" s="62" t="s">
        <v>156</v>
      </c>
      <c r="D59" s="60"/>
      <c r="E59" s="60"/>
      <c r="F59" s="60"/>
      <c r="G59" s="61"/>
      <c r="H59" s="60"/>
      <c r="I59" s="60"/>
      <c r="J59" s="60"/>
      <c r="K59" s="60"/>
      <c r="L59" s="62"/>
      <c r="M59" s="64">
        <f>SOFP!M27</f>
        <v>1101595</v>
      </c>
      <c r="N59" s="64">
        <f>N56+N57-N58</f>
        <v>1101595</v>
      </c>
      <c r="O59" s="64">
        <f t="shared" ref="O59:Q59" si="16">O56+O57-O58</f>
        <v>1101595</v>
      </c>
      <c r="P59" s="64">
        <f t="shared" si="16"/>
        <v>1188997.9946386334</v>
      </c>
      <c r="Q59" s="64">
        <f t="shared" ca="1" si="16"/>
        <v>1101595</v>
      </c>
      <c r="R59" s="64">
        <f ca="1">R56+R57-R58</f>
        <v>1101595</v>
      </c>
    </row>
    <row r="60" spans="3:18" x14ac:dyDescent="0.25">
      <c r="G60" s="40"/>
    </row>
    <row r="61" spans="3:18" x14ac:dyDescent="0.25">
      <c r="G61" s="40"/>
    </row>
    <row r="62" spans="3:18" x14ac:dyDescent="0.25">
      <c r="G62" s="40"/>
    </row>
    <row r="63" spans="3:18" x14ac:dyDescent="0.25">
      <c r="G63" s="40"/>
    </row>
    <row r="64" spans="3:18" ht="16.5" thickBot="1" x14ac:dyDescent="0.3">
      <c r="C64" s="44" t="s">
        <v>160</v>
      </c>
      <c r="D64" s="45"/>
      <c r="E64" s="45"/>
      <c r="F64" s="45"/>
      <c r="G64" s="56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</row>
    <row r="65" spans="3:18" ht="15.75" thickTop="1" x14ac:dyDescent="0.25">
      <c r="C65" t="s">
        <v>151</v>
      </c>
      <c r="G65" s="40"/>
      <c r="I65" s="66"/>
      <c r="J65" s="66"/>
      <c r="K65" s="66"/>
      <c r="L65" s="66"/>
      <c r="M65" s="66"/>
      <c r="N65" s="22">
        <f>M68</f>
        <v>-511600</v>
      </c>
      <c r="O65" s="22">
        <f t="shared" ref="O65:R65" si="17">N68</f>
        <v>-556168</v>
      </c>
      <c r="P65" s="22">
        <f t="shared" si="17"/>
        <v>-600736</v>
      </c>
      <c r="Q65" s="22">
        <f t="shared" si="17"/>
        <v>-689005.49731931672</v>
      </c>
      <c r="R65" s="22">
        <f t="shared" ca="1" si="17"/>
        <v>-689872</v>
      </c>
    </row>
    <row r="66" spans="3:18" x14ac:dyDescent="0.25">
      <c r="C66" t="s">
        <v>161</v>
      </c>
      <c r="G66" s="40"/>
      <c r="I66" s="66"/>
      <c r="J66" s="66"/>
      <c r="K66" s="66"/>
      <c r="L66" s="66"/>
      <c r="M66" s="66"/>
      <c r="N66" s="22">
        <f>IS!N31</f>
        <v>-44568</v>
      </c>
      <c r="O66" s="22">
        <f>IS!O31</f>
        <v>-44568</v>
      </c>
      <c r="P66" s="22">
        <f>IS!P31</f>
        <v>-88269.49731931671</v>
      </c>
      <c r="Q66" s="22">
        <f ca="1">IS!Q31</f>
        <v>-44568</v>
      </c>
      <c r="R66" s="22">
        <f ca="1">IS!R31</f>
        <v>-44568</v>
      </c>
    </row>
    <row r="67" spans="3:18" ht="15.75" thickBot="1" x14ac:dyDescent="0.3">
      <c r="C67" t="s">
        <v>162</v>
      </c>
      <c r="G67" s="40"/>
      <c r="I67" s="66"/>
      <c r="J67" s="66"/>
      <c r="K67" s="66"/>
      <c r="L67" s="66"/>
      <c r="M67" s="66"/>
      <c r="N67">
        <f>N66*N70</f>
        <v>0</v>
      </c>
      <c r="O67">
        <f t="shared" ref="O67:R67" si="18">O66*O70</f>
        <v>0</v>
      </c>
      <c r="P67">
        <f t="shared" si="18"/>
        <v>0</v>
      </c>
      <c r="Q67">
        <f t="shared" ca="1" si="18"/>
        <v>0</v>
      </c>
      <c r="R67">
        <f t="shared" ca="1" si="18"/>
        <v>0</v>
      </c>
    </row>
    <row r="68" spans="3:18" x14ac:dyDescent="0.25">
      <c r="C68" s="62" t="s">
        <v>156</v>
      </c>
      <c r="D68" s="62"/>
      <c r="E68" s="62"/>
      <c r="F68" s="62"/>
      <c r="G68" s="65"/>
      <c r="H68" s="62"/>
      <c r="I68" s="62"/>
      <c r="J68" s="62"/>
      <c r="K68" s="62"/>
      <c r="L68" s="62"/>
      <c r="M68" s="64">
        <f>SOFP!M46</f>
        <v>-511600</v>
      </c>
      <c r="N68" s="64">
        <f>N65+N66-N67</f>
        <v>-556168</v>
      </c>
      <c r="O68" s="64">
        <f t="shared" ref="O68:R68" si="19">O65+O66-O67</f>
        <v>-600736</v>
      </c>
      <c r="P68" s="64">
        <f t="shared" si="19"/>
        <v>-689005.49731931672</v>
      </c>
      <c r="Q68" s="64">
        <f t="shared" ca="1" si="19"/>
        <v>-689872</v>
      </c>
      <c r="R68" s="64">
        <f t="shared" ca="1" si="19"/>
        <v>-734440</v>
      </c>
    </row>
    <row r="69" spans="3:18" x14ac:dyDescent="0.25">
      <c r="G69" s="40"/>
    </row>
    <row r="70" spans="3:18" x14ac:dyDescent="0.25">
      <c r="C70" t="s">
        <v>163</v>
      </c>
      <c r="G70" s="40"/>
      <c r="I70" s="67">
        <f>'Historical Data'!I40/'Historical Data'!I31</f>
        <v>0</v>
      </c>
      <c r="J70" s="67">
        <f>'Historical Data'!J40/'Historical Data'!J31</f>
        <v>0</v>
      </c>
      <c r="K70" s="67">
        <f>'Historical Data'!K40/'Historical Data'!K31</f>
        <v>0</v>
      </c>
      <c r="L70" s="67">
        <f>'Historical Data'!L40/'Historical Data'!L31</f>
        <v>0</v>
      </c>
      <c r="M70" s="67">
        <f>'Historical Data'!M40/'Historical Data'!M31</f>
        <v>0</v>
      </c>
      <c r="N70" s="68">
        <f>AVERAGE($I$70:$M$70)</f>
        <v>0</v>
      </c>
      <c r="O70" s="68">
        <f t="shared" ref="O70:R70" si="20">AVERAGE($I$70:$M$70)</f>
        <v>0</v>
      </c>
      <c r="P70" s="68">
        <f t="shared" si="20"/>
        <v>0</v>
      </c>
      <c r="Q70" s="68">
        <f t="shared" si="20"/>
        <v>0</v>
      </c>
      <c r="R70" s="68">
        <f t="shared" si="20"/>
        <v>0</v>
      </c>
    </row>
    <row r="71" spans="3:18" x14ac:dyDescent="0.25">
      <c r="G71" s="40"/>
      <c r="I71" s="67"/>
    </row>
    <row r="72" spans="3:18" x14ac:dyDescent="0.25">
      <c r="G72" s="40"/>
    </row>
    <row r="73" spans="3:18" x14ac:dyDescent="0.25">
      <c r="C73" s="1" t="s">
        <v>171</v>
      </c>
      <c r="G73" s="40"/>
    </row>
    <row r="74" spans="3:18" x14ac:dyDescent="0.25">
      <c r="G74" s="40"/>
    </row>
    <row r="75" spans="3:18" x14ac:dyDescent="0.25">
      <c r="C75" s="1" t="s">
        <v>172</v>
      </c>
    </row>
    <row r="76" spans="3:18" x14ac:dyDescent="0.25">
      <c r="C76" t="s">
        <v>72</v>
      </c>
      <c r="I76" s="22">
        <f>SOFP!I22</f>
        <v>25830</v>
      </c>
      <c r="J76" s="22">
        <f>SOFP!J22</f>
        <v>25830</v>
      </c>
      <c r="K76" s="22">
        <f>SOFP!K22</f>
        <v>25830</v>
      </c>
      <c r="L76" s="22">
        <f>SOFP!L22</f>
        <v>25830</v>
      </c>
      <c r="M76" s="22">
        <f>SOFP!M22</f>
        <v>25830</v>
      </c>
      <c r="N76" s="22">
        <f>SOFP!N22</f>
        <v>25832</v>
      </c>
      <c r="O76" s="22">
        <f>SOFP!O22</f>
        <v>25832.400000000001</v>
      </c>
      <c r="P76" s="22">
        <f>SOFP!P22</f>
        <v>25832.68</v>
      </c>
      <c r="Q76" s="22">
        <f>SOFP!Q22</f>
        <v>25832.815999999999</v>
      </c>
      <c r="R76" s="22">
        <f>SOFP!R22</f>
        <v>25832.779199999997</v>
      </c>
    </row>
    <row r="77" spans="3:18" ht="15.75" thickBot="1" x14ac:dyDescent="0.3">
      <c r="C77" t="s">
        <v>73</v>
      </c>
      <c r="I77" s="22">
        <f>SOFP!I23</f>
        <v>22261</v>
      </c>
      <c r="J77" s="22">
        <f>SOFP!J23</f>
        <v>22261</v>
      </c>
      <c r="K77" s="22">
        <f>SOFP!K23</f>
        <v>22261</v>
      </c>
      <c r="L77" s="22">
        <f>SOFP!L23</f>
        <v>22261</v>
      </c>
      <c r="M77" s="22">
        <f>SOFP!M23</f>
        <v>22261</v>
      </c>
      <c r="N77" s="22">
        <f>SOFP!N23</f>
        <v>22261</v>
      </c>
      <c r="O77" s="22">
        <f>SOFP!O23</f>
        <v>22261</v>
      </c>
      <c r="P77" s="22">
        <f>SOFP!P23</f>
        <v>22261</v>
      </c>
      <c r="Q77" s="22">
        <f>SOFP!Q23</f>
        <v>22261</v>
      </c>
      <c r="R77" s="22">
        <f>SOFP!R23</f>
        <v>22261</v>
      </c>
    </row>
    <row r="78" spans="3:18" x14ac:dyDescent="0.25">
      <c r="C78" s="62" t="s">
        <v>173</v>
      </c>
      <c r="D78" s="60"/>
      <c r="E78" s="60"/>
      <c r="F78" s="60"/>
      <c r="G78" s="60"/>
      <c r="H78" s="60"/>
      <c r="I78" s="70">
        <f t="shared" ref="I78:M78" si="21">I76+I77</f>
        <v>48091</v>
      </c>
      <c r="J78" s="70">
        <f t="shared" si="21"/>
        <v>48091</v>
      </c>
      <c r="K78" s="70">
        <f t="shared" si="21"/>
        <v>48091</v>
      </c>
      <c r="L78" s="70">
        <f t="shared" si="21"/>
        <v>48091</v>
      </c>
      <c r="M78" s="70">
        <f t="shared" si="21"/>
        <v>48091</v>
      </c>
      <c r="N78" s="64">
        <f>N76+N77</f>
        <v>48093</v>
      </c>
      <c r="O78" s="64">
        <f t="shared" ref="O78:R78" si="22">O76+O77</f>
        <v>48093.4</v>
      </c>
      <c r="P78" s="64">
        <f t="shared" si="22"/>
        <v>48093.68</v>
      </c>
      <c r="Q78" s="64">
        <f t="shared" si="22"/>
        <v>48093.815999999999</v>
      </c>
      <c r="R78" s="64">
        <f t="shared" si="22"/>
        <v>48093.779199999997</v>
      </c>
    </row>
    <row r="79" spans="3:18" x14ac:dyDescent="0.25">
      <c r="I79" s="22"/>
      <c r="J79" s="22"/>
      <c r="K79" s="22"/>
      <c r="L79" s="22"/>
      <c r="M79" s="22"/>
    </row>
    <row r="80" spans="3:18" x14ac:dyDescent="0.25">
      <c r="C80" s="1" t="s">
        <v>174</v>
      </c>
      <c r="I80" s="22"/>
      <c r="J80" s="22"/>
      <c r="K80" s="22"/>
      <c r="L80" s="22"/>
      <c r="M80" s="22"/>
    </row>
    <row r="81" spans="3:18" x14ac:dyDescent="0.25">
      <c r="C81" t="s">
        <v>84</v>
      </c>
      <c r="I81" s="22">
        <f>SOFP!I34</f>
        <v>1857</v>
      </c>
      <c r="J81" s="22">
        <f>SOFP!J34</f>
        <v>1857</v>
      </c>
      <c r="K81" s="22">
        <f>SOFP!K34</f>
        <v>1857</v>
      </c>
      <c r="L81" s="22">
        <f>SOFP!L34</f>
        <v>1857</v>
      </c>
      <c r="M81" s="22">
        <f>SOFP!M34</f>
        <v>1857</v>
      </c>
      <c r="N81" s="22">
        <f>SOFP!N34</f>
        <v>1857</v>
      </c>
      <c r="O81" s="22">
        <f>SOFP!O34</f>
        <v>1857</v>
      </c>
      <c r="P81" s="22">
        <f>SOFP!P34</f>
        <v>1857</v>
      </c>
      <c r="Q81" s="22">
        <f>SOFP!Q34</f>
        <v>1857</v>
      </c>
      <c r="R81" s="22">
        <f>SOFP!R34</f>
        <v>1857</v>
      </c>
    </row>
    <row r="82" spans="3:18" x14ac:dyDescent="0.25">
      <c r="C82" t="s">
        <v>85</v>
      </c>
      <c r="I82" s="22">
        <f>SOFP!I35</f>
        <v>4971</v>
      </c>
      <c r="J82" s="22">
        <f>SOFP!J35</f>
        <v>4971</v>
      </c>
      <c r="K82" s="22">
        <f>SOFP!K35</f>
        <v>4971</v>
      </c>
      <c r="L82" s="22">
        <f>SOFP!L35</f>
        <v>4971</v>
      </c>
      <c r="M82" s="22">
        <f>SOFP!M35</f>
        <v>4971</v>
      </c>
      <c r="N82" s="22">
        <f>SOFP!N35</f>
        <v>4971</v>
      </c>
      <c r="O82" s="22">
        <f>SOFP!O35</f>
        <v>4971</v>
      </c>
      <c r="P82" s="22">
        <f>SOFP!P35</f>
        <v>4971</v>
      </c>
      <c r="Q82" s="22">
        <f>SOFP!Q35</f>
        <v>4971</v>
      </c>
      <c r="R82" s="22">
        <f>SOFP!R35</f>
        <v>4971</v>
      </c>
    </row>
    <row r="83" spans="3:18" ht="15.75" thickBot="1" x14ac:dyDescent="0.3">
      <c r="C83" t="s">
        <v>117</v>
      </c>
      <c r="I83" s="22">
        <f>SOFP!I36</f>
        <v>6828</v>
      </c>
      <c r="J83" s="22">
        <f>SOFP!J36</f>
        <v>6828</v>
      </c>
      <c r="K83" s="22">
        <f>SOFP!K36</f>
        <v>6828</v>
      </c>
      <c r="L83" s="22">
        <f>SOFP!L36</f>
        <v>6828</v>
      </c>
      <c r="M83" s="22">
        <f>SOFP!M36</f>
        <v>6828</v>
      </c>
      <c r="N83" s="22">
        <f>SOFP!N36</f>
        <v>6828</v>
      </c>
      <c r="O83" s="22">
        <f>SOFP!O36</f>
        <v>6828</v>
      </c>
      <c r="P83" s="22">
        <f>SOFP!P36</f>
        <v>6828</v>
      </c>
      <c r="Q83" s="22">
        <f>SOFP!Q36</f>
        <v>6828</v>
      </c>
      <c r="R83" s="22">
        <f>SOFP!R36</f>
        <v>6828</v>
      </c>
    </row>
    <row r="84" spans="3:18" x14ac:dyDescent="0.25">
      <c r="C84" s="62" t="s">
        <v>110</v>
      </c>
      <c r="D84" s="60"/>
      <c r="E84" s="60"/>
      <c r="F84" s="60"/>
      <c r="G84" s="60"/>
      <c r="H84" s="60"/>
      <c r="I84" s="70">
        <f t="shared" ref="I84:M84" si="23">SUM(I81:I83)</f>
        <v>13656</v>
      </c>
      <c r="J84" s="70">
        <f t="shared" si="23"/>
        <v>13656</v>
      </c>
      <c r="K84" s="70">
        <f t="shared" si="23"/>
        <v>13656</v>
      </c>
      <c r="L84" s="70">
        <f t="shared" si="23"/>
        <v>13656</v>
      </c>
      <c r="M84" s="70">
        <f t="shared" si="23"/>
        <v>13656</v>
      </c>
      <c r="N84" s="64">
        <f>SUM(N81:N83)</f>
        <v>13656</v>
      </c>
      <c r="O84" s="64">
        <f t="shared" ref="O84:R84" si="24">SUM(O81:O83)</f>
        <v>13656</v>
      </c>
      <c r="P84" s="64">
        <f t="shared" si="24"/>
        <v>13656</v>
      </c>
      <c r="Q84" s="64">
        <f t="shared" si="24"/>
        <v>13656</v>
      </c>
      <c r="R84" s="64">
        <f t="shared" si="24"/>
        <v>13656</v>
      </c>
    </row>
    <row r="85" spans="3:18" x14ac:dyDescent="0.25">
      <c r="C85" s="1" t="s">
        <v>175</v>
      </c>
      <c r="I85" s="22">
        <f t="shared" ref="I85:M85" si="25">I78-I84</f>
        <v>34435</v>
      </c>
      <c r="J85" s="22">
        <f t="shared" si="25"/>
        <v>34435</v>
      </c>
      <c r="K85" s="22">
        <f t="shared" si="25"/>
        <v>34435</v>
      </c>
      <c r="L85" s="22">
        <f t="shared" si="25"/>
        <v>34435</v>
      </c>
      <c r="M85" s="22">
        <f t="shared" si="25"/>
        <v>34435</v>
      </c>
      <c r="N85" s="22">
        <f>N78-N84</f>
        <v>34437</v>
      </c>
      <c r="O85" s="22">
        <f t="shared" ref="O85:R85" si="26">O78-O84</f>
        <v>34437.4</v>
      </c>
      <c r="P85" s="22">
        <f t="shared" si="26"/>
        <v>34437.68</v>
      </c>
      <c r="Q85" s="22">
        <f t="shared" si="26"/>
        <v>34437.815999999999</v>
      </c>
      <c r="R85" s="22">
        <f t="shared" si="26"/>
        <v>34437.779199999997</v>
      </c>
    </row>
    <row r="86" spans="3:18" x14ac:dyDescent="0.25">
      <c r="C86" s="1" t="s">
        <v>176</v>
      </c>
      <c r="I86" s="22">
        <f t="shared" ref="I86:M86" si="27">H85-I85</f>
        <v>-34435</v>
      </c>
      <c r="J86" s="22">
        <f t="shared" si="27"/>
        <v>0</v>
      </c>
      <c r="K86" s="22">
        <f t="shared" si="27"/>
        <v>0</v>
      </c>
      <c r="L86" s="22">
        <f t="shared" si="27"/>
        <v>0</v>
      </c>
      <c r="M86" s="22">
        <f t="shared" si="27"/>
        <v>0</v>
      </c>
      <c r="N86" s="22">
        <f>M85-N85</f>
        <v>-2</v>
      </c>
      <c r="O86" s="22">
        <f t="shared" ref="O86:R86" si="28">N85-O85</f>
        <v>-0.40000000000145519</v>
      </c>
      <c r="P86" s="22">
        <f t="shared" si="28"/>
        <v>-0.27999999999883585</v>
      </c>
      <c r="Q86" s="22">
        <f t="shared" si="28"/>
        <v>-0.13599999999860302</v>
      </c>
      <c r="R86" s="22">
        <f t="shared" si="28"/>
        <v>3.6800000001676381E-2</v>
      </c>
    </row>
    <row r="88" spans="3:18" x14ac:dyDescent="0.25">
      <c r="C88" t="s">
        <v>182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3:18" x14ac:dyDescent="0.25">
      <c r="C89" t="s">
        <v>181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3:18" x14ac:dyDescent="0.25">
      <c r="C90" t="s">
        <v>184</v>
      </c>
      <c r="N90">
        <v>0</v>
      </c>
      <c r="O90">
        <v>0</v>
      </c>
      <c r="P90">
        <v>0</v>
      </c>
      <c r="Q90">
        <v>0</v>
      </c>
      <c r="R90">
        <v>0</v>
      </c>
    </row>
  </sheetData>
  <hyperlinks>
    <hyperlink ref="Q2" location="'Model Guide'!A1" display="MODEL GUID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4"/>
  <sheetViews>
    <sheetView showGridLines="0" topLeftCell="B12" zoomScale="91" zoomScaleNormal="105" workbookViewId="0">
      <selection activeCell="T35" sqref="T35"/>
    </sheetView>
  </sheetViews>
  <sheetFormatPr defaultRowHeight="15" x14ac:dyDescent="0.25"/>
  <sheetData>
    <row r="2" spans="2:18" x14ac:dyDescent="0.25">
      <c r="Q2" s="8" t="s">
        <v>47</v>
      </c>
      <c r="R2" s="9"/>
    </row>
    <row r="3" spans="2:18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10"/>
      <c r="O3" s="10"/>
      <c r="P3" s="10"/>
      <c r="Q3" s="10"/>
      <c r="R3" s="10"/>
    </row>
    <row r="4" spans="2:18" ht="26.25" x14ac:dyDescent="0.4">
      <c r="B4" s="7"/>
      <c r="C4" s="18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10"/>
      <c r="O4" s="10"/>
      <c r="P4" s="10"/>
      <c r="Q4" s="10"/>
      <c r="R4" s="10"/>
    </row>
    <row r="5" spans="2:18" x14ac:dyDescent="0.25">
      <c r="B5" s="7"/>
      <c r="C5" s="7" t="s">
        <v>40</v>
      </c>
      <c r="D5" s="7"/>
      <c r="E5" s="7"/>
      <c r="F5" s="7"/>
      <c r="G5" s="7"/>
      <c r="H5" s="7"/>
      <c r="I5" s="13">
        <v>43466</v>
      </c>
      <c r="J5" s="13">
        <v>43831</v>
      </c>
      <c r="K5" s="13">
        <v>44197</v>
      </c>
      <c r="L5" s="13">
        <v>44562</v>
      </c>
      <c r="M5" s="13">
        <v>44927</v>
      </c>
      <c r="N5" s="19">
        <v>45292</v>
      </c>
      <c r="O5" s="19">
        <v>45658</v>
      </c>
      <c r="P5" s="19">
        <v>46023</v>
      </c>
      <c r="Q5" s="19">
        <v>46388</v>
      </c>
      <c r="R5" s="19">
        <v>46753</v>
      </c>
    </row>
    <row r="6" spans="2:18" x14ac:dyDescent="0.25">
      <c r="B6" s="7"/>
      <c r="C6" s="7" t="s">
        <v>41</v>
      </c>
      <c r="D6" s="7"/>
      <c r="E6" s="7"/>
      <c r="F6" s="7"/>
      <c r="G6" s="7"/>
      <c r="H6" s="13">
        <v>43465</v>
      </c>
      <c r="I6" s="13">
        <v>43830</v>
      </c>
      <c r="J6" s="13">
        <v>44196</v>
      </c>
      <c r="K6" s="13">
        <v>44561</v>
      </c>
      <c r="L6" s="13">
        <v>44926</v>
      </c>
      <c r="M6" s="13">
        <v>45291</v>
      </c>
      <c r="N6" s="19">
        <v>45657</v>
      </c>
      <c r="O6" s="19">
        <v>46022</v>
      </c>
      <c r="P6" s="19">
        <v>46387</v>
      </c>
      <c r="Q6" s="19">
        <v>46752</v>
      </c>
      <c r="R6" s="19">
        <v>47118</v>
      </c>
    </row>
    <row r="7" spans="2:18" x14ac:dyDescent="0.25">
      <c r="B7" s="7"/>
      <c r="C7" s="7" t="s">
        <v>42</v>
      </c>
      <c r="D7" s="7"/>
      <c r="E7" s="7"/>
      <c r="F7" s="7"/>
      <c r="G7" s="7"/>
      <c r="H7" s="7"/>
      <c r="I7" s="16">
        <v>2019</v>
      </c>
      <c r="J7" s="16">
        <v>2020</v>
      </c>
      <c r="K7" s="16">
        <v>2021</v>
      </c>
      <c r="L7" s="16">
        <v>2022</v>
      </c>
      <c r="M7" s="16">
        <v>2023</v>
      </c>
      <c r="N7" s="20">
        <v>2023</v>
      </c>
      <c r="O7" s="20">
        <v>2024</v>
      </c>
      <c r="P7" s="20">
        <v>2025</v>
      </c>
      <c r="Q7" s="20">
        <v>2026</v>
      </c>
      <c r="R7" s="20">
        <v>2027</v>
      </c>
    </row>
    <row r="8" spans="2:18" x14ac:dyDescent="0.25">
      <c r="B8" s="7"/>
      <c r="C8" s="7" t="s">
        <v>43</v>
      </c>
      <c r="D8" s="7"/>
      <c r="E8" s="7"/>
      <c r="F8" s="7"/>
      <c r="G8" s="7"/>
      <c r="H8" s="7"/>
      <c r="I8" s="7">
        <v>364</v>
      </c>
      <c r="J8" s="7">
        <v>364</v>
      </c>
      <c r="K8" s="7">
        <v>364</v>
      </c>
      <c r="L8" s="7">
        <v>364</v>
      </c>
      <c r="M8" s="7">
        <v>364</v>
      </c>
      <c r="N8" s="10">
        <v>364</v>
      </c>
      <c r="O8" s="10">
        <v>364</v>
      </c>
      <c r="P8" s="10">
        <v>364</v>
      </c>
      <c r="Q8" s="10">
        <v>364</v>
      </c>
      <c r="R8" s="10">
        <v>364</v>
      </c>
    </row>
    <row r="9" spans="2:18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10"/>
      <c r="O9" s="10"/>
      <c r="P9" s="10"/>
      <c r="Q9" s="10"/>
      <c r="R9" s="10"/>
    </row>
    <row r="13" spans="2:18" x14ac:dyDescent="0.25">
      <c r="C13" t="s">
        <v>44</v>
      </c>
      <c r="G13" t="s">
        <v>45</v>
      </c>
    </row>
    <row r="14" spans="2:18" x14ac:dyDescent="0.25">
      <c r="I14" t="s">
        <v>65</v>
      </c>
      <c r="J14" t="s">
        <v>65</v>
      </c>
      <c r="K14" t="s">
        <v>65</v>
      </c>
      <c r="L14" t="s">
        <v>65</v>
      </c>
      <c r="M14" t="s">
        <v>65</v>
      </c>
      <c r="N14" t="s">
        <v>65</v>
      </c>
      <c r="O14" t="s">
        <v>65</v>
      </c>
      <c r="P14" t="s">
        <v>65</v>
      </c>
      <c r="Q14" t="s">
        <v>65</v>
      </c>
      <c r="R14" t="s">
        <v>65</v>
      </c>
    </row>
    <row r="15" spans="2:18" x14ac:dyDescent="0.25">
      <c r="C15" s="1" t="s">
        <v>46</v>
      </c>
    </row>
    <row r="17" spans="3:18" x14ac:dyDescent="0.25">
      <c r="C17" s="1" t="s">
        <v>49</v>
      </c>
      <c r="D17" s="1"/>
      <c r="E17" s="1"/>
      <c r="F17" s="1"/>
      <c r="G17" s="1"/>
      <c r="H17" s="1"/>
      <c r="I17" s="26">
        <f>'Historical Data'!I18</f>
        <v>205757</v>
      </c>
      <c r="J17" s="26">
        <f>'Historical Data'!J18</f>
        <v>0</v>
      </c>
      <c r="K17" s="26">
        <f>'Historical Data'!K18</f>
        <v>0</v>
      </c>
      <c r="L17" s="26">
        <f>'Historical Data'!L18</f>
        <v>0</v>
      </c>
      <c r="M17" s="26">
        <f>'Historical Data'!M18</f>
        <v>0</v>
      </c>
      <c r="N17" s="96">
        <f>M17*(1+'Assumptions and Drivers'!N16)</f>
        <v>0</v>
      </c>
      <c r="O17" s="96">
        <f>N17*(1+'Assumptions and Drivers'!O16)</f>
        <v>0</v>
      </c>
      <c r="P17" s="96">
        <f>O17*(1+'Assumptions and Drivers'!P16)</f>
        <v>0</v>
      </c>
      <c r="Q17" s="96">
        <f>P17*(1+'Assumptions and Drivers'!Q16)</f>
        <v>0</v>
      </c>
      <c r="R17" s="96">
        <f>Q17*(1+'Assumptions and Drivers'!R16)</f>
        <v>0</v>
      </c>
    </row>
    <row r="18" spans="3:18" x14ac:dyDescent="0.25">
      <c r="C18" t="s">
        <v>50</v>
      </c>
      <c r="I18" s="22">
        <f>'Historical Data'!I19</f>
        <v>-236482</v>
      </c>
      <c r="J18" s="22">
        <f>'Historical Data'!J19</f>
        <v>0</v>
      </c>
      <c r="K18" s="22">
        <f>'Historical Data'!K19</f>
        <v>0</v>
      </c>
      <c r="L18" s="22">
        <f>'Historical Data'!L19</f>
        <v>0</v>
      </c>
      <c r="M18" s="22">
        <f>'Historical Data'!M19</f>
        <v>0</v>
      </c>
      <c r="N18" s="97">
        <f>N17*('Assumptions and Drivers'!N17)</f>
        <v>0</v>
      </c>
      <c r="O18" s="97">
        <f>O17*('Assumptions and Drivers'!O17)</f>
        <v>0</v>
      </c>
      <c r="P18" s="97">
        <f>P17*('Assumptions and Drivers'!P17)</f>
        <v>0</v>
      </c>
      <c r="Q18" s="97">
        <f>Q17*('Assumptions and Drivers'!Q17)</f>
        <v>0</v>
      </c>
      <c r="R18" s="97">
        <f>R17*('Assumptions and Drivers'!R17)</f>
        <v>0</v>
      </c>
    </row>
    <row r="19" spans="3:18" x14ac:dyDescent="0.25">
      <c r="C19" s="1" t="s">
        <v>51</v>
      </c>
      <c r="D19" s="1"/>
      <c r="E19" s="1"/>
      <c r="F19" s="1"/>
      <c r="G19" s="1"/>
      <c r="H19" s="1"/>
      <c r="I19" s="26">
        <f>I17+I18</f>
        <v>-30725</v>
      </c>
      <c r="J19" s="26">
        <f>J17+J18</f>
        <v>0</v>
      </c>
      <c r="K19" s="26">
        <f t="shared" ref="K19:L19" si="0">K17+K18</f>
        <v>0</v>
      </c>
      <c r="L19" s="26">
        <f t="shared" si="0"/>
        <v>0</v>
      </c>
      <c r="M19" s="26">
        <f t="shared" ref="M19:N19" si="1">M17+M18</f>
        <v>0</v>
      </c>
      <c r="N19" s="98">
        <f t="shared" si="1"/>
        <v>0</v>
      </c>
      <c r="O19" s="98">
        <f t="shared" ref="O19:R19" si="2">O17+O18</f>
        <v>0</v>
      </c>
      <c r="P19" s="98">
        <f t="shared" si="2"/>
        <v>0</v>
      </c>
      <c r="Q19" s="98">
        <f t="shared" si="2"/>
        <v>0</v>
      </c>
      <c r="R19" s="98">
        <f t="shared" si="2"/>
        <v>0</v>
      </c>
    </row>
    <row r="20" spans="3:18" x14ac:dyDescent="0.25">
      <c r="N20" s="97"/>
      <c r="O20" s="97"/>
      <c r="P20" s="97"/>
      <c r="Q20" s="97"/>
      <c r="R20" s="97"/>
    </row>
    <row r="21" spans="3:18" ht="15.75" thickBot="1" x14ac:dyDescent="0.3">
      <c r="C21" s="23" t="s">
        <v>88</v>
      </c>
      <c r="I21" s="22">
        <f>'Historical Data'!I22+'Historical Data'!I23</f>
        <v>-47121</v>
      </c>
      <c r="J21" s="22">
        <f>'Historical Data'!J22+'Historical Data'!J23</f>
        <v>-142139</v>
      </c>
      <c r="K21" s="22">
        <f>'Historical Data'!K22+'Historical Data'!K23</f>
        <v>-44568</v>
      </c>
      <c r="L21" s="22">
        <f>'Historical Data'!L22+'Historical Data'!L23</f>
        <v>-44568</v>
      </c>
      <c r="M21" s="22">
        <f>'Historical Data'!M22+'Historical Data'!M23</f>
        <v>-44568</v>
      </c>
      <c r="N21" s="99">
        <f>AVERAGE(K21:M21)</f>
        <v>-44568</v>
      </c>
      <c r="O21" s="99">
        <f t="shared" ref="O21:R21" si="3">AVERAGE(L21:N21)</f>
        <v>-44568</v>
      </c>
      <c r="P21" s="99">
        <f t="shared" si="3"/>
        <v>-44568</v>
      </c>
      <c r="Q21" s="99">
        <f t="shared" si="3"/>
        <v>-44568</v>
      </c>
      <c r="R21" s="99">
        <f t="shared" si="3"/>
        <v>-44568</v>
      </c>
    </row>
    <row r="22" spans="3:18" ht="15.75" thickTop="1" x14ac:dyDescent="0.25">
      <c r="C22" s="34" t="s">
        <v>89</v>
      </c>
      <c r="D22" s="25"/>
      <c r="E22" s="25"/>
      <c r="F22" s="25"/>
      <c r="G22" s="25"/>
      <c r="H22" s="25"/>
      <c r="I22" s="27">
        <f>I19+I21+I24</f>
        <v>114468</v>
      </c>
      <c r="J22" s="27">
        <f>J19+J21+J24</f>
        <v>0</v>
      </c>
      <c r="K22" s="27">
        <f t="shared" ref="K22:M22" si="4">K19+K21+K24</f>
        <v>0</v>
      </c>
      <c r="L22" s="27">
        <f t="shared" si="4"/>
        <v>0</v>
      </c>
      <c r="M22" s="27">
        <f t="shared" si="4"/>
        <v>-44568</v>
      </c>
      <c r="N22" s="100">
        <f>N19+N21</f>
        <v>-44568</v>
      </c>
      <c r="O22" s="100">
        <f t="shared" ref="O22:R22" si="5">O19+O21</f>
        <v>-44568</v>
      </c>
      <c r="P22" s="100">
        <f t="shared" si="5"/>
        <v>-44568</v>
      </c>
      <c r="Q22" s="100">
        <f t="shared" si="5"/>
        <v>-44568</v>
      </c>
      <c r="R22" s="100">
        <f t="shared" si="5"/>
        <v>-44568</v>
      </c>
    </row>
    <row r="23" spans="3:18" x14ac:dyDescent="0.25">
      <c r="I23" s="22"/>
      <c r="J23" s="22"/>
      <c r="K23" s="22"/>
      <c r="L23" s="22"/>
      <c r="M23" s="22"/>
      <c r="N23" s="97"/>
      <c r="O23" s="97"/>
      <c r="P23" s="97"/>
      <c r="Q23" s="97"/>
      <c r="R23" s="97"/>
    </row>
    <row r="24" spans="3:18" ht="15.75" thickBot="1" x14ac:dyDescent="0.3">
      <c r="C24" t="s">
        <v>90</v>
      </c>
      <c r="I24" s="22">
        <f>'Historical Data'!I39</f>
        <v>192314</v>
      </c>
      <c r="J24" s="22">
        <f>'Historical Data'!J39</f>
        <v>142139</v>
      </c>
      <c r="K24" s="22">
        <f>'Historical Data'!K39</f>
        <v>44568</v>
      </c>
      <c r="L24" s="22">
        <f>'Historical Data'!L39</f>
        <v>44568</v>
      </c>
      <c r="M24" s="22">
        <f>'Historical Data'!M39</f>
        <v>0</v>
      </c>
      <c r="N24" s="99">
        <f>'Assumptions and Drivers'!N58</f>
        <v>0</v>
      </c>
      <c r="O24" s="99">
        <f>'Assumptions and Drivers'!O58</f>
        <v>0</v>
      </c>
      <c r="P24" s="99">
        <f>'Assumptions and Drivers'!P58</f>
        <v>43701.49731931671</v>
      </c>
      <c r="Q24" s="99">
        <f ca="1">'Assumptions and Drivers'!Q58</f>
        <v>0</v>
      </c>
      <c r="R24" s="99">
        <f ca="1">'Assumptions and Drivers'!R58</f>
        <v>0</v>
      </c>
    </row>
    <row r="25" spans="3:18" ht="15.75" thickTop="1" x14ac:dyDescent="0.25">
      <c r="C25" s="34" t="s">
        <v>91</v>
      </c>
      <c r="D25" s="25"/>
      <c r="E25" s="34"/>
      <c r="F25" s="34"/>
      <c r="G25" s="34"/>
      <c r="H25" s="34"/>
      <c r="I25" s="27">
        <f>I22-I24</f>
        <v>-77846</v>
      </c>
      <c r="J25" s="27">
        <f>J22-J24</f>
        <v>-142139</v>
      </c>
      <c r="K25" s="27">
        <f t="shared" ref="K25:M25" si="6">K22-K24</f>
        <v>-44568</v>
      </c>
      <c r="L25" s="27">
        <f t="shared" si="6"/>
        <v>-44568</v>
      </c>
      <c r="M25" s="27">
        <f t="shared" si="6"/>
        <v>-44568</v>
      </c>
      <c r="N25" s="100">
        <f>N22-N24</f>
        <v>-44568</v>
      </c>
      <c r="O25" s="100">
        <f t="shared" ref="O25:R25" si="7">O22-O24</f>
        <v>-44568</v>
      </c>
      <c r="P25" s="100">
        <f t="shared" si="7"/>
        <v>-88269.49731931671</v>
      </c>
      <c r="Q25" s="100">
        <f t="shared" ca="1" si="7"/>
        <v>-44568</v>
      </c>
      <c r="R25" s="100">
        <f t="shared" ca="1" si="7"/>
        <v>-44568</v>
      </c>
    </row>
    <row r="26" spans="3:18" x14ac:dyDescent="0.25">
      <c r="N26" s="99"/>
      <c r="O26" s="99"/>
      <c r="P26" s="99"/>
      <c r="Q26" s="99"/>
      <c r="R26" s="99"/>
    </row>
    <row r="27" spans="3:18" ht="15.75" thickBot="1" x14ac:dyDescent="0.3">
      <c r="C27" t="s">
        <v>92</v>
      </c>
      <c r="I27" s="22">
        <f>'Historical Data'!I24</f>
        <v>-6371</v>
      </c>
      <c r="J27" s="22">
        <f>'Historical Data'!J24</f>
        <v>0</v>
      </c>
      <c r="K27" s="22">
        <f>'Historical Data'!K24</f>
        <v>0</v>
      </c>
      <c r="L27" s="22">
        <f>'Historical Data'!L24</f>
        <v>0</v>
      </c>
      <c r="M27" s="22">
        <f>'Historical Data'!M24</f>
        <v>0</v>
      </c>
      <c r="N27" s="99">
        <f>'Assumptions and Drivers'!N20*IS!N25</f>
        <v>0</v>
      </c>
      <c r="O27" s="99">
        <f>'Assumptions and Drivers'!O20*IS!O25</f>
        <v>0</v>
      </c>
      <c r="P27" s="99">
        <f>'Assumptions and Drivers'!P20*IS!P25</f>
        <v>0</v>
      </c>
      <c r="Q27" s="99">
        <f ca="1">'Assumptions and Drivers'!Q20*IS!Q25</f>
        <v>0</v>
      </c>
      <c r="R27" s="99">
        <f ca="1">'Assumptions and Drivers'!R20*IS!R25</f>
        <v>0</v>
      </c>
    </row>
    <row r="28" spans="3:18" ht="15.75" thickTop="1" x14ac:dyDescent="0.25">
      <c r="C28" s="34" t="s">
        <v>93</v>
      </c>
      <c r="D28" s="25"/>
      <c r="E28" s="25"/>
      <c r="F28" s="25"/>
      <c r="G28" s="25"/>
      <c r="H28" s="25"/>
      <c r="I28" s="27">
        <f>I25+I27</f>
        <v>-84217</v>
      </c>
      <c r="J28" s="27">
        <f>J25+J27</f>
        <v>-142139</v>
      </c>
      <c r="K28" s="27">
        <f t="shared" ref="K28:L28" si="8">K25+K27</f>
        <v>-44568</v>
      </c>
      <c r="L28" s="27">
        <f t="shared" si="8"/>
        <v>-44568</v>
      </c>
      <c r="M28" s="27">
        <f t="shared" ref="M28" si="9">M25+M27</f>
        <v>-44568</v>
      </c>
      <c r="N28" s="100">
        <f>N25-N27</f>
        <v>-44568</v>
      </c>
      <c r="O28" s="100">
        <f t="shared" ref="O28:R28" si="10">O25-O27</f>
        <v>-44568</v>
      </c>
      <c r="P28" s="100">
        <f t="shared" si="10"/>
        <v>-88269.49731931671</v>
      </c>
      <c r="Q28" s="100">
        <f t="shared" ca="1" si="10"/>
        <v>-44568</v>
      </c>
      <c r="R28" s="100">
        <f t="shared" ca="1" si="10"/>
        <v>-44568</v>
      </c>
    </row>
    <row r="29" spans="3:18" x14ac:dyDescent="0.25">
      <c r="N29" s="97"/>
      <c r="O29" s="97"/>
      <c r="P29" s="97"/>
      <c r="Q29" s="97"/>
      <c r="R29" s="97"/>
    </row>
    <row r="30" spans="3:18" ht="15.75" thickBot="1" x14ac:dyDescent="0.3">
      <c r="C30" t="s">
        <v>94</v>
      </c>
      <c r="I30" s="22">
        <f>'Historical Data'!I26</f>
        <v>-151</v>
      </c>
      <c r="J30" s="22">
        <f>'Historical Data'!J26</f>
        <v>0</v>
      </c>
      <c r="K30" s="22">
        <f>'Historical Data'!K26</f>
        <v>0</v>
      </c>
      <c r="L30" s="22">
        <f>'Historical Data'!L26</f>
        <v>0</v>
      </c>
      <c r="M30" s="22">
        <f>'Historical Data'!M26</f>
        <v>0</v>
      </c>
      <c r="N30" s="101">
        <f>'Assumptions and Drivers'!N21</f>
        <v>0</v>
      </c>
      <c r="O30" s="101">
        <f>'Assumptions and Drivers'!O21</f>
        <v>0</v>
      </c>
      <c r="P30" s="101">
        <f>'Assumptions and Drivers'!P21</f>
        <v>0</v>
      </c>
      <c r="Q30" s="101">
        <f>'Assumptions and Drivers'!Q21</f>
        <v>0</v>
      </c>
      <c r="R30" s="101">
        <f>'Assumptions and Drivers'!R21</f>
        <v>0</v>
      </c>
    </row>
    <row r="31" spans="3:18" ht="15.75" thickTop="1" x14ac:dyDescent="0.25">
      <c r="C31" s="34" t="s">
        <v>95</v>
      </c>
      <c r="D31" s="25"/>
      <c r="E31" s="25"/>
      <c r="F31" s="25"/>
      <c r="G31" s="25"/>
      <c r="H31" s="25"/>
      <c r="I31" s="27">
        <f>I28+I30</f>
        <v>-84368</v>
      </c>
      <c r="J31" s="27">
        <f>J28+J30</f>
        <v>-142139</v>
      </c>
      <c r="K31" s="27">
        <f t="shared" ref="K31:L31" si="11">K28+K30</f>
        <v>-44568</v>
      </c>
      <c r="L31" s="27">
        <f t="shared" si="11"/>
        <v>-44568</v>
      </c>
      <c r="M31" s="27">
        <f t="shared" ref="M31" si="12">M28+M30</f>
        <v>-44568</v>
      </c>
      <c r="N31" s="100">
        <f>N28-N30</f>
        <v>-44568</v>
      </c>
      <c r="O31" s="100">
        <f t="shared" ref="O31:R31" si="13">O28-O30</f>
        <v>-44568</v>
      </c>
      <c r="P31" s="100">
        <f t="shared" si="13"/>
        <v>-88269.49731931671</v>
      </c>
      <c r="Q31" s="100">
        <f t="shared" ca="1" si="13"/>
        <v>-44568</v>
      </c>
      <c r="R31" s="100">
        <f t="shared" ca="1" si="13"/>
        <v>-44568</v>
      </c>
    </row>
    <row r="32" spans="3:18" x14ac:dyDescent="0.25">
      <c r="N32" s="1"/>
      <c r="O32" s="1"/>
    </row>
    <row r="33" spans="9:15" x14ac:dyDescent="0.25">
      <c r="K33" s="1"/>
      <c r="L33" s="1"/>
    </row>
    <row r="34" spans="9:15" x14ac:dyDescent="0.25">
      <c r="I34" s="22"/>
      <c r="J34" s="22"/>
      <c r="K34" s="22"/>
      <c r="L34" s="22"/>
      <c r="M34" s="22"/>
      <c r="N34" s="1"/>
      <c r="O34" s="1"/>
    </row>
  </sheetData>
  <hyperlinks>
    <hyperlink ref="Q2" location="'Model Guide'!A1" display="MODEL GUIDE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49"/>
  <sheetViews>
    <sheetView showGridLines="0" zoomScale="97" zoomScaleNormal="120" workbookViewId="0">
      <selection activeCell="E10" sqref="E10"/>
    </sheetView>
  </sheetViews>
  <sheetFormatPr defaultRowHeight="15" x14ac:dyDescent="0.25"/>
  <cols>
    <col min="8" max="8" width="10.28515625" bestFit="1" customWidth="1"/>
    <col min="9" max="9" width="10.7109375" bestFit="1" customWidth="1"/>
    <col min="10" max="10" width="10.5703125" bestFit="1" customWidth="1"/>
    <col min="11" max="14" width="10.28515625" bestFit="1" customWidth="1"/>
    <col min="15" max="15" width="10.5703125" bestFit="1" customWidth="1"/>
    <col min="16" max="16" width="11.7109375" bestFit="1" customWidth="1"/>
    <col min="17" max="18" width="10.42578125" bestFit="1" customWidth="1"/>
  </cols>
  <sheetData>
    <row r="3" spans="2:18" ht="18.75" x14ac:dyDescent="0.3">
      <c r="B3" t="s">
        <v>118</v>
      </c>
      <c r="I3" s="21" t="str">
        <f>IF(I30=I48, "Good", "Error")</f>
        <v>Good</v>
      </c>
      <c r="J3" s="21" t="str">
        <f t="shared" ref="J3:R3" si="0">IF(J30=J48, "Good", "Error")</f>
        <v>Good</v>
      </c>
      <c r="K3" s="21" t="str">
        <f t="shared" si="0"/>
        <v>Good</v>
      </c>
      <c r="L3" s="21" t="str">
        <f t="shared" si="0"/>
        <v>Good</v>
      </c>
      <c r="M3" s="21" t="str">
        <f t="shared" si="0"/>
        <v>Good</v>
      </c>
      <c r="N3" s="21" t="str">
        <f t="shared" si="0"/>
        <v>Good</v>
      </c>
      <c r="O3" s="21" t="str">
        <f t="shared" si="0"/>
        <v>Good</v>
      </c>
      <c r="P3" s="21" t="str">
        <f t="shared" si="0"/>
        <v>Good</v>
      </c>
      <c r="Q3" s="21" t="str">
        <f t="shared" ca="1" si="0"/>
        <v>Good</v>
      </c>
      <c r="R3" s="21" t="str">
        <f t="shared" ca="1" si="0"/>
        <v>Good</v>
      </c>
    </row>
    <row r="4" spans="2:18" x14ac:dyDescent="0.25">
      <c r="B4" t="s">
        <v>119</v>
      </c>
      <c r="I4" s="22">
        <f>I30-I48</f>
        <v>0</v>
      </c>
      <c r="J4" s="22">
        <f t="shared" ref="J4:R4" si="1">J30-J48</f>
        <v>0</v>
      </c>
      <c r="K4" s="22">
        <f t="shared" si="1"/>
        <v>0</v>
      </c>
      <c r="L4" s="22">
        <f t="shared" si="1"/>
        <v>0</v>
      </c>
      <c r="M4" s="22">
        <f t="shared" si="1"/>
        <v>0</v>
      </c>
      <c r="N4" s="22">
        <f t="shared" si="1"/>
        <v>0</v>
      </c>
      <c r="O4" s="22">
        <f t="shared" si="1"/>
        <v>0</v>
      </c>
      <c r="P4" s="22">
        <f t="shared" si="1"/>
        <v>0</v>
      </c>
      <c r="Q4" s="22">
        <f t="shared" ca="1" si="1"/>
        <v>0</v>
      </c>
      <c r="R4" s="22">
        <f t="shared" ca="1" si="1"/>
        <v>0</v>
      </c>
    </row>
    <row r="5" spans="2:18" x14ac:dyDescent="0.25">
      <c r="Q5" s="8" t="s">
        <v>47</v>
      </c>
      <c r="R5" s="9"/>
    </row>
    <row r="6" spans="2:18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0"/>
      <c r="O6" s="10"/>
      <c r="P6" s="10"/>
      <c r="Q6" s="10"/>
      <c r="R6" s="10"/>
    </row>
    <row r="7" spans="2:18" ht="26.25" x14ac:dyDescent="0.4">
      <c r="B7" s="7"/>
      <c r="C7" s="18" t="s">
        <v>1</v>
      </c>
      <c r="D7" s="7"/>
      <c r="E7" s="7"/>
      <c r="F7" s="7"/>
      <c r="G7" s="7"/>
      <c r="H7" s="7"/>
      <c r="I7" s="7"/>
      <c r="J7" s="7"/>
      <c r="K7" s="7"/>
      <c r="L7" s="7"/>
      <c r="M7" s="7"/>
      <c r="N7" s="10"/>
      <c r="O7" s="10"/>
      <c r="P7" s="10"/>
      <c r="Q7" s="10"/>
      <c r="R7" s="10"/>
    </row>
    <row r="8" spans="2:18" x14ac:dyDescent="0.25">
      <c r="B8" s="7"/>
      <c r="C8" s="7" t="s">
        <v>40</v>
      </c>
      <c r="D8" s="7"/>
      <c r="E8" s="7"/>
      <c r="F8" s="7"/>
      <c r="G8" s="7"/>
      <c r="H8" s="7"/>
      <c r="I8" s="13">
        <v>43466</v>
      </c>
      <c r="J8" s="13">
        <v>43831</v>
      </c>
      <c r="K8" s="13">
        <v>44197</v>
      </c>
      <c r="L8" s="13">
        <v>44562</v>
      </c>
      <c r="M8" s="13">
        <v>44927</v>
      </c>
      <c r="N8" s="19">
        <v>45292</v>
      </c>
      <c r="O8" s="19">
        <v>45658</v>
      </c>
      <c r="P8" s="19">
        <v>46023</v>
      </c>
      <c r="Q8" s="19">
        <v>46388</v>
      </c>
      <c r="R8" s="19">
        <v>46753</v>
      </c>
    </row>
    <row r="9" spans="2:18" x14ac:dyDescent="0.25">
      <c r="B9" s="7"/>
      <c r="C9" s="7" t="s">
        <v>41</v>
      </c>
      <c r="D9" s="7"/>
      <c r="E9" s="7"/>
      <c r="F9" s="7"/>
      <c r="G9" s="7"/>
      <c r="H9" s="13">
        <v>43465</v>
      </c>
      <c r="I9" s="13">
        <v>43830</v>
      </c>
      <c r="J9" s="13">
        <v>44196</v>
      </c>
      <c r="K9" s="13">
        <v>44561</v>
      </c>
      <c r="L9" s="13">
        <v>44926</v>
      </c>
      <c r="M9" s="13">
        <v>45291</v>
      </c>
      <c r="N9" s="19">
        <v>45657</v>
      </c>
      <c r="O9" s="19">
        <v>46022</v>
      </c>
      <c r="P9" s="19">
        <v>46387</v>
      </c>
      <c r="Q9" s="19">
        <v>46752</v>
      </c>
      <c r="R9" s="19">
        <v>47118</v>
      </c>
    </row>
    <row r="10" spans="2:18" x14ac:dyDescent="0.25">
      <c r="B10" s="7"/>
      <c r="C10" s="7" t="s">
        <v>42</v>
      </c>
      <c r="D10" s="7"/>
      <c r="E10" s="7"/>
      <c r="F10" s="7"/>
      <c r="G10" s="7"/>
      <c r="H10" s="7"/>
      <c r="I10" s="16">
        <v>2019</v>
      </c>
      <c r="J10" s="16">
        <v>2020</v>
      </c>
      <c r="K10" s="16">
        <v>2021</v>
      </c>
      <c r="L10" s="16">
        <v>2022</v>
      </c>
      <c r="M10" s="16">
        <v>2023</v>
      </c>
      <c r="N10" s="20">
        <v>2023</v>
      </c>
      <c r="O10" s="20">
        <v>2024</v>
      </c>
      <c r="P10" s="20">
        <v>2025</v>
      </c>
      <c r="Q10" s="20">
        <v>2026</v>
      </c>
      <c r="R10" s="20">
        <v>2027</v>
      </c>
    </row>
    <row r="11" spans="2:18" x14ac:dyDescent="0.25">
      <c r="B11" s="7"/>
      <c r="C11" s="7" t="s">
        <v>43</v>
      </c>
      <c r="D11" s="7"/>
      <c r="E11" s="7"/>
      <c r="F11" s="7"/>
      <c r="G11" s="7"/>
      <c r="H11" s="7"/>
      <c r="I11" s="7">
        <v>365</v>
      </c>
      <c r="J11" s="7">
        <v>365</v>
      </c>
      <c r="K11" s="7">
        <v>365</v>
      </c>
      <c r="L11" s="7">
        <v>365</v>
      </c>
      <c r="M11" s="7">
        <v>365</v>
      </c>
      <c r="N11" s="10">
        <v>365</v>
      </c>
      <c r="O11" s="10">
        <v>365</v>
      </c>
      <c r="P11" s="10">
        <v>365</v>
      </c>
      <c r="Q11" s="10">
        <v>365</v>
      </c>
      <c r="R11" s="10">
        <v>365</v>
      </c>
    </row>
    <row r="12" spans="2:18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10"/>
      <c r="O12" s="10"/>
      <c r="P12" s="10"/>
      <c r="Q12" s="10"/>
      <c r="R12" s="10"/>
    </row>
    <row r="16" spans="2:18" x14ac:dyDescent="0.25">
      <c r="C16" s="1" t="s">
        <v>44</v>
      </c>
      <c r="G16" s="1" t="s">
        <v>45</v>
      </c>
    </row>
    <row r="18" spans="3:18" x14ac:dyDescent="0.25">
      <c r="C18" s="1" t="s">
        <v>97</v>
      </c>
    </row>
    <row r="20" spans="3:18" ht="15.75" x14ac:dyDescent="0.25">
      <c r="C20" s="49" t="s">
        <v>98</v>
      </c>
    </row>
    <row r="21" spans="3:18" x14ac:dyDescent="0.25">
      <c r="C21" t="s">
        <v>74</v>
      </c>
      <c r="I21" s="22">
        <f>'Historical Data'!I54</f>
        <v>1057</v>
      </c>
      <c r="J21" s="22">
        <f>'Historical Data'!J54</f>
        <v>1057</v>
      </c>
      <c r="K21" s="22">
        <f>'Historical Data'!K54</f>
        <v>1057</v>
      </c>
      <c r="L21" s="22">
        <f>'Historical Data'!L54</f>
        <v>1057</v>
      </c>
      <c r="M21" s="22">
        <f>'Historical Data'!M54</f>
        <v>1057</v>
      </c>
      <c r="N21" s="99">
        <f>SOCF!N40</f>
        <v>-43513</v>
      </c>
      <c r="O21" s="99">
        <f>SOCF!O40</f>
        <v>-88081.4</v>
      </c>
      <c r="P21" s="99">
        <f>SOCF!P40</f>
        <v>-263754.17195795011</v>
      </c>
      <c r="Q21" s="99">
        <f ca="1">SOCF!Q40</f>
        <v>-43513</v>
      </c>
      <c r="R21" s="99">
        <f ca="1">SOCF!R40</f>
        <v>-43513</v>
      </c>
    </row>
    <row r="22" spans="3:18" x14ac:dyDescent="0.25">
      <c r="C22" t="s">
        <v>72</v>
      </c>
      <c r="I22" s="22">
        <f>'Historical Data'!I52</f>
        <v>25830</v>
      </c>
      <c r="J22" s="22">
        <f>'Historical Data'!J52</f>
        <v>25830</v>
      </c>
      <c r="K22" s="22">
        <f>'Historical Data'!K52</f>
        <v>25830</v>
      </c>
      <c r="L22" s="22">
        <f>'Historical Data'!L52</f>
        <v>25830</v>
      </c>
      <c r="M22" s="22">
        <f>'Historical Data'!M52</f>
        <v>25830</v>
      </c>
      <c r="N22" s="97">
        <f>'Assumptions and Drivers'!N28</f>
        <v>25832</v>
      </c>
      <c r="O22" s="97">
        <f>'Assumptions and Drivers'!O28</f>
        <v>25832.400000000001</v>
      </c>
      <c r="P22" s="97">
        <f>'Assumptions and Drivers'!P28</f>
        <v>25832.68</v>
      </c>
      <c r="Q22" s="97">
        <f>'Assumptions and Drivers'!Q28</f>
        <v>25832.815999999999</v>
      </c>
      <c r="R22" s="97">
        <f>'Assumptions and Drivers'!R28</f>
        <v>25832.779199999997</v>
      </c>
    </row>
    <row r="23" spans="3:18" ht="15.75" thickBot="1" x14ac:dyDescent="0.3">
      <c r="C23" t="s">
        <v>73</v>
      </c>
      <c r="I23" s="22">
        <f>'Historical Data'!I53</f>
        <v>22261</v>
      </c>
      <c r="J23" s="22">
        <f>'Historical Data'!J53</f>
        <v>22261</v>
      </c>
      <c r="K23" s="22">
        <f>'Historical Data'!K53</f>
        <v>22261</v>
      </c>
      <c r="L23" s="22">
        <f>'Historical Data'!L53</f>
        <v>22261</v>
      </c>
      <c r="M23" s="22">
        <f>'Historical Data'!M53</f>
        <v>22261</v>
      </c>
      <c r="N23" s="97">
        <f>'Assumptions and Drivers'!N29</f>
        <v>22261</v>
      </c>
      <c r="O23" s="97">
        <f>'Assumptions and Drivers'!O29</f>
        <v>22261</v>
      </c>
      <c r="P23" s="97">
        <f>'Assumptions and Drivers'!P29</f>
        <v>22261</v>
      </c>
      <c r="Q23" s="97">
        <f>'Assumptions and Drivers'!Q29</f>
        <v>22261</v>
      </c>
      <c r="R23" s="97">
        <f>'Assumptions and Drivers'!R29</f>
        <v>22261</v>
      </c>
    </row>
    <row r="24" spans="3:18" ht="15.75" thickTop="1" x14ac:dyDescent="0.25">
      <c r="C24" s="34" t="s">
        <v>99</v>
      </c>
      <c r="D24" s="25"/>
      <c r="E24" s="25"/>
      <c r="F24" s="25"/>
      <c r="G24" s="25"/>
      <c r="H24" s="25"/>
      <c r="I24" s="27">
        <f>SUM(I21:I23)</f>
        <v>49148</v>
      </c>
      <c r="J24" s="27">
        <f>SUM(J21:J23)</f>
        <v>49148</v>
      </c>
      <c r="K24" s="27">
        <f>SUM(K21:K23)</f>
        <v>49148</v>
      </c>
      <c r="L24" s="27">
        <f>SUM(L21:L23)</f>
        <v>49148</v>
      </c>
      <c r="M24" s="27">
        <f>SUM(M21:M23)</f>
        <v>49148</v>
      </c>
      <c r="N24" s="102">
        <f>N22+N23+N21</f>
        <v>4580</v>
      </c>
      <c r="O24" s="100">
        <f t="shared" ref="O24:R24" si="2">O22+O23+O21</f>
        <v>-39987.999999999993</v>
      </c>
      <c r="P24" s="100">
        <f t="shared" si="2"/>
        <v>-215660.49195795011</v>
      </c>
      <c r="Q24" s="100">
        <f t="shared" ca="1" si="2"/>
        <v>48093.815999999999</v>
      </c>
      <c r="R24" s="100">
        <f t="shared" ca="1" si="2"/>
        <v>48093.779199999997</v>
      </c>
    </row>
    <row r="25" spans="3:18" x14ac:dyDescent="0.25">
      <c r="N25" s="103"/>
      <c r="O25" s="103"/>
      <c r="P25" s="103"/>
      <c r="Q25" s="97"/>
      <c r="R25" s="97"/>
    </row>
    <row r="26" spans="3:18" ht="15.75" x14ac:dyDescent="0.25">
      <c r="C26" s="49" t="s">
        <v>68</v>
      </c>
      <c r="N26" s="103"/>
      <c r="O26" s="103"/>
      <c r="P26" s="103"/>
      <c r="Q26" s="97"/>
      <c r="R26" s="97"/>
    </row>
    <row r="27" spans="3:18" x14ac:dyDescent="0.25">
      <c r="C27" t="s">
        <v>100</v>
      </c>
      <c r="I27" s="22">
        <f>'Historical Data'!I48</f>
        <v>1332870</v>
      </c>
      <c r="J27" s="22">
        <f>'Historical Data'!J48</f>
        <v>1190731</v>
      </c>
      <c r="K27" s="22">
        <f>'Historical Data'!K48</f>
        <v>1146163</v>
      </c>
      <c r="L27" s="22">
        <f>'Historical Data'!L48</f>
        <v>1101595</v>
      </c>
      <c r="M27" s="22">
        <f>'Historical Data'!M48</f>
        <v>1101595</v>
      </c>
      <c r="N27" s="104">
        <f>'Assumptions and Drivers'!N31</f>
        <v>1101595</v>
      </c>
      <c r="O27" s="104">
        <f>'Assumptions and Drivers'!O31</f>
        <v>1101595</v>
      </c>
      <c r="P27" s="104">
        <f>'Assumptions and Drivers'!P31</f>
        <v>1188997.9946386334</v>
      </c>
      <c r="Q27" s="104">
        <f ca="1">'Assumptions and Drivers'!Q31</f>
        <v>1101595</v>
      </c>
      <c r="R27" s="104">
        <f ca="1">'Assumptions and Drivers'!R31</f>
        <v>1101595</v>
      </c>
    </row>
    <row r="28" spans="3:18" ht="15.75" thickBot="1" x14ac:dyDescent="0.3">
      <c r="C28" s="23" t="s">
        <v>101</v>
      </c>
      <c r="I28" s="22">
        <f>'Historical Data'!I49</f>
        <v>151835</v>
      </c>
      <c r="J28" s="22">
        <f>'Historical Data'!J49</f>
        <v>151835</v>
      </c>
      <c r="K28" s="22">
        <f>'Historical Data'!K49</f>
        <v>151835</v>
      </c>
      <c r="L28" s="22">
        <f>'Historical Data'!L49</f>
        <v>151835</v>
      </c>
      <c r="M28" s="22">
        <f>'Historical Data'!M49</f>
        <v>151835</v>
      </c>
      <c r="N28" s="104">
        <f>'Assumptions and Drivers'!N32</f>
        <v>151835</v>
      </c>
      <c r="O28" s="104">
        <f>'Assumptions and Drivers'!O32</f>
        <v>151835</v>
      </c>
      <c r="P28" s="104">
        <f>'Assumptions and Drivers'!P32</f>
        <v>151835</v>
      </c>
      <c r="Q28" s="104">
        <f>'Assumptions and Drivers'!Q32</f>
        <v>151835</v>
      </c>
      <c r="R28" s="104">
        <f>'Assumptions and Drivers'!R32</f>
        <v>151835</v>
      </c>
    </row>
    <row r="29" spans="3:18" ht="15.75" thickTop="1" x14ac:dyDescent="0.25">
      <c r="C29" s="34" t="s">
        <v>102</v>
      </c>
      <c r="D29" s="25"/>
      <c r="E29" s="25"/>
      <c r="F29" s="25"/>
      <c r="G29" s="25"/>
      <c r="H29" s="25"/>
      <c r="I29" s="27">
        <f>SUM(I27:I28)</f>
        <v>1484705</v>
      </c>
      <c r="J29" s="27">
        <f>SUM(J27:J28)</f>
        <v>1342566</v>
      </c>
      <c r="K29" s="27">
        <f>SUM(K27:K28)</f>
        <v>1297998</v>
      </c>
      <c r="L29" s="27">
        <f>SUM(L27:L28)</f>
        <v>1253430</v>
      </c>
      <c r="M29" s="27">
        <f>SUM(M27:M28)</f>
        <v>1253430</v>
      </c>
      <c r="N29" s="100">
        <f>N27+N28</f>
        <v>1253430</v>
      </c>
      <c r="O29" s="100">
        <f t="shared" ref="O29:R29" si="3">O27+O28</f>
        <v>1253430</v>
      </c>
      <c r="P29" s="100">
        <f t="shared" si="3"/>
        <v>1340832.9946386334</v>
      </c>
      <c r="Q29" s="100">
        <f t="shared" ca="1" si="3"/>
        <v>1253430</v>
      </c>
      <c r="R29" s="100">
        <f t="shared" ca="1" si="3"/>
        <v>1253430</v>
      </c>
    </row>
    <row r="30" spans="3:18" x14ac:dyDescent="0.25">
      <c r="C30" s="35" t="s">
        <v>75</v>
      </c>
      <c r="D30" s="29"/>
      <c r="E30" s="29"/>
      <c r="F30" s="29"/>
      <c r="G30" s="29"/>
      <c r="H30" s="29"/>
      <c r="I30" s="36">
        <f t="shared" ref="I30:N30" si="4">I24+I29</f>
        <v>1533853</v>
      </c>
      <c r="J30" s="36">
        <f t="shared" si="4"/>
        <v>1391714</v>
      </c>
      <c r="K30" s="36">
        <f t="shared" si="4"/>
        <v>1347146</v>
      </c>
      <c r="L30" s="36">
        <f t="shared" si="4"/>
        <v>1302578</v>
      </c>
      <c r="M30" s="36">
        <f t="shared" si="4"/>
        <v>1302578</v>
      </c>
      <c r="N30" s="105">
        <f t="shared" si="4"/>
        <v>1258010</v>
      </c>
      <c r="O30" s="105">
        <f t="shared" ref="O30:R30" si="5">O24+O29</f>
        <v>1213442</v>
      </c>
      <c r="P30" s="105">
        <f t="shared" si="5"/>
        <v>1125172.5026806833</v>
      </c>
      <c r="Q30" s="105">
        <f t="shared" ca="1" si="5"/>
        <v>1301523</v>
      </c>
      <c r="R30" s="105">
        <f t="shared" ca="1" si="5"/>
        <v>1301523</v>
      </c>
    </row>
    <row r="31" spans="3:18" x14ac:dyDescent="0.25">
      <c r="N31" s="103"/>
      <c r="O31" s="103"/>
      <c r="P31" s="103"/>
      <c r="Q31" s="97"/>
      <c r="R31" s="97"/>
    </row>
    <row r="32" spans="3:18" x14ac:dyDescent="0.25">
      <c r="N32" s="103"/>
      <c r="O32" s="103"/>
      <c r="P32" s="103"/>
      <c r="Q32" s="97"/>
      <c r="R32" s="97"/>
    </row>
    <row r="33" spans="3:18" ht="15.75" x14ac:dyDescent="0.25">
      <c r="C33" s="49" t="s">
        <v>103</v>
      </c>
      <c r="N33" s="103"/>
      <c r="O33" s="103"/>
      <c r="P33" s="103"/>
      <c r="Q33" s="97"/>
      <c r="R33" s="97"/>
    </row>
    <row r="34" spans="3:18" x14ac:dyDescent="0.25">
      <c r="C34" s="23" t="s">
        <v>104</v>
      </c>
      <c r="D34" s="23"/>
      <c r="I34" s="22">
        <f>'Historical Data'!I67</f>
        <v>1857</v>
      </c>
      <c r="J34" s="22">
        <f>'Historical Data'!J67</f>
        <v>1857</v>
      </c>
      <c r="K34" s="22">
        <f>'Historical Data'!K67</f>
        <v>1857</v>
      </c>
      <c r="L34" s="22">
        <f>'Historical Data'!L67</f>
        <v>1857</v>
      </c>
      <c r="M34" s="22">
        <f>'Historical Data'!M67</f>
        <v>1857</v>
      </c>
      <c r="N34" s="104">
        <f>'Assumptions and Drivers'!N34</f>
        <v>1857</v>
      </c>
      <c r="O34" s="104">
        <f>'Assumptions and Drivers'!O34</f>
        <v>1857</v>
      </c>
      <c r="P34" s="104">
        <f>'Assumptions and Drivers'!P34</f>
        <v>1857</v>
      </c>
      <c r="Q34" s="104">
        <f>'Assumptions and Drivers'!Q34</f>
        <v>1857</v>
      </c>
      <c r="R34" s="104">
        <f>'Assumptions and Drivers'!R34</f>
        <v>1857</v>
      </c>
    </row>
    <row r="35" spans="3:18" ht="15.75" thickBot="1" x14ac:dyDescent="0.3">
      <c r="C35" s="23" t="s">
        <v>105</v>
      </c>
      <c r="D35" s="23"/>
      <c r="I35" s="22">
        <f>'Historical Data'!I68</f>
        <v>4971</v>
      </c>
      <c r="J35" s="22">
        <f>'Historical Data'!J68</f>
        <v>4971</v>
      </c>
      <c r="K35" s="22">
        <f>'Historical Data'!K68</f>
        <v>4971</v>
      </c>
      <c r="L35" s="22">
        <f>'Historical Data'!L68</f>
        <v>4971</v>
      </c>
      <c r="M35" s="22">
        <f>'Historical Data'!M68</f>
        <v>4971</v>
      </c>
      <c r="N35" s="104">
        <f>'Assumptions and Drivers'!N35</f>
        <v>4971</v>
      </c>
      <c r="O35" s="104">
        <f>'Assumptions and Drivers'!O35</f>
        <v>4971</v>
      </c>
      <c r="P35" s="104">
        <f>'Assumptions and Drivers'!P35</f>
        <v>4971</v>
      </c>
      <c r="Q35" s="104">
        <f>'Assumptions and Drivers'!Q35</f>
        <v>4971</v>
      </c>
      <c r="R35" s="104">
        <f>'Assumptions and Drivers'!R35</f>
        <v>4971</v>
      </c>
    </row>
    <row r="36" spans="3:18" ht="15.75" thickTop="1" x14ac:dyDescent="0.25">
      <c r="C36" s="34" t="s">
        <v>106</v>
      </c>
      <c r="D36" s="25"/>
      <c r="E36" s="25"/>
      <c r="F36" s="25"/>
      <c r="G36" s="25"/>
      <c r="H36" s="25"/>
      <c r="I36" s="34">
        <f t="shared" ref="I36:N36" si="6">I34+I35</f>
        <v>6828</v>
      </c>
      <c r="J36" s="34">
        <f t="shared" si="6"/>
        <v>6828</v>
      </c>
      <c r="K36" s="34">
        <f t="shared" si="6"/>
        <v>6828</v>
      </c>
      <c r="L36" s="34">
        <f t="shared" si="6"/>
        <v>6828</v>
      </c>
      <c r="M36" s="34">
        <f t="shared" si="6"/>
        <v>6828</v>
      </c>
      <c r="N36" s="106">
        <f t="shared" si="6"/>
        <v>6828</v>
      </c>
      <c r="O36" s="106">
        <f t="shared" ref="O36:R36" si="7">O34+O35</f>
        <v>6828</v>
      </c>
      <c r="P36" s="106">
        <f t="shared" si="7"/>
        <v>6828</v>
      </c>
      <c r="Q36" s="106">
        <f t="shared" si="7"/>
        <v>6828</v>
      </c>
      <c r="R36" s="106">
        <f t="shared" si="7"/>
        <v>6828</v>
      </c>
    </row>
    <row r="37" spans="3:18" x14ac:dyDescent="0.25">
      <c r="N37" s="103"/>
      <c r="O37" s="103"/>
      <c r="P37" s="103"/>
      <c r="Q37" s="97"/>
      <c r="R37" s="97"/>
    </row>
    <row r="38" spans="3:18" ht="15.75" x14ac:dyDescent="0.25">
      <c r="C38" s="49" t="s">
        <v>107</v>
      </c>
      <c r="N38" s="103"/>
      <c r="O38" s="103"/>
      <c r="P38" s="103"/>
      <c r="Q38" s="97"/>
      <c r="R38" s="97"/>
    </row>
    <row r="39" spans="3:18" ht="15.75" thickBot="1" x14ac:dyDescent="0.3">
      <c r="C39" t="s">
        <v>108</v>
      </c>
      <c r="I39" s="22">
        <f>'Historical Data'!I65</f>
        <v>42644</v>
      </c>
      <c r="J39" s="22">
        <f>'Historical Data'!J65</f>
        <v>42644</v>
      </c>
      <c r="K39" s="22">
        <f>'Historical Data'!K65</f>
        <v>42644</v>
      </c>
      <c r="L39" s="22">
        <f>'Historical Data'!L65</f>
        <v>42644</v>
      </c>
      <c r="M39" s="22">
        <f>'Historical Data'!M65</f>
        <v>42644</v>
      </c>
      <c r="N39" s="104">
        <f>'Assumptions and Drivers'!N37</f>
        <v>42644</v>
      </c>
      <c r="O39" s="104">
        <f>'Assumptions and Drivers'!O37</f>
        <v>42644</v>
      </c>
      <c r="P39" s="104">
        <f>'Assumptions and Drivers'!P37</f>
        <v>42644</v>
      </c>
      <c r="Q39" s="104">
        <f>'Assumptions and Drivers'!Q37</f>
        <v>42644</v>
      </c>
      <c r="R39" s="104">
        <f>'Assumptions and Drivers'!R37</f>
        <v>42644</v>
      </c>
    </row>
    <row r="40" spans="3:18" ht="15.75" thickTop="1" x14ac:dyDescent="0.25">
      <c r="C40" s="34" t="s">
        <v>109</v>
      </c>
      <c r="D40" s="25"/>
      <c r="E40" s="25"/>
      <c r="F40" s="25"/>
      <c r="G40" s="25"/>
      <c r="H40" s="25"/>
      <c r="I40" s="27">
        <f t="shared" ref="I40:N40" si="8">I39</f>
        <v>42644</v>
      </c>
      <c r="J40" s="27">
        <f t="shared" si="8"/>
        <v>42644</v>
      </c>
      <c r="K40" s="27">
        <f t="shared" si="8"/>
        <v>42644</v>
      </c>
      <c r="L40" s="27">
        <f t="shared" si="8"/>
        <v>42644</v>
      </c>
      <c r="M40" s="27">
        <f t="shared" si="8"/>
        <v>42644</v>
      </c>
      <c r="N40" s="106">
        <f t="shared" si="8"/>
        <v>42644</v>
      </c>
      <c r="O40" s="106">
        <f t="shared" ref="O40:R40" si="9">O39</f>
        <v>42644</v>
      </c>
      <c r="P40" s="106">
        <f t="shared" si="9"/>
        <v>42644</v>
      </c>
      <c r="Q40" s="106">
        <f t="shared" si="9"/>
        <v>42644</v>
      </c>
      <c r="R40" s="106">
        <f t="shared" si="9"/>
        <v>42644</v>
      </c>
    </row>
    <row r="41" spans="3:18" x14ac:dyDescent="0.25">
      <c r="C41" s="35" t="s">
        <v>110</v>
      </c>
      <c r="D41" s="29"/>
      <c r="E41" s="29"/>
      <c r="F41" s="29"/>
      <c r="G41" s="29"/>
      <c r="H41" s="29"/>
      <c r="I41" s="31">
        <f>I40+I36</f>
        <v>49472</v>
      </c>
      <c r="J41" s="31">
        <f>J40+J36</f>
        <v>49472</v>
      </c>
      <c r="K41" s="31">
        <f>K40+K36</f>
        <v>49472</v>
      </c>
      <c r="L41" s="31">
        <f>L40+L36</f>
        <v>49472</v>
      </c>
      <c r="M41" s="31">
        <f>M40+M36</f>
        <v>49472</v>
      </c>
      <c r="N41" s="104">
        <f>N36+N40</f>
        <v>49472</v>
      </c>
      <c r="O41" s="104">
        <f t="shared" ref="O41:R41" si="10">O36+O40</f>
        <v>49472</v>
      </c>
      <c r="P41" s="104">
        <f t="shared" si="10"/>
        <v>49472</v>
      </c>
      <c r="Q41" s="104">
        <f t="shared" si="10"/>
        <v>49472</v>
      </c>
      <c r="R41" s="104">
        <f t="shared" si="10"/>
        <v>49472</v>
      </c>
    </row>
    <row r="42" spans="3:18" x14ac:dyDescent="0.25">
      <c r="F42" s="1"/>
      <c r="N42" s="103"/>
      <c r="O42" s="103"/>
      <c r="P42" s="103"/>
      <c r="Q42" s="97"/>
      <c r="R42" s="97"/>
    </row>
    <row r="43" spans="3:18" ht="15.75" x14ac:dyDescent="0.25">
      <c r="C43" s="49" t="s">
        <v>111</v>
      </c>
      <c r="N43" s="103"/>
      <c r="O43" s="103"/>
      <c r="P43" s="103"/>
      <c r="Q43" s="97"/>
      <c r="R43" s="97"/>
    </row>
    <row r="44" spans="3:18" x14ac:dyDescent="0.25">
      <c r="C44" t="s">
        <v>112</v>
      </c>
      <c r="I44" s="22">
        <f>'Historical Data'!I59</f>
        <v>539930</v>
      </c>
      <c r="J44" s="22">
        <f>'Historical Data'!J59</f>
        <v>539930</v>
      </c>
      <c r="K44" s="22">
        <f>'Historical Data'!K59</f>
        <v>539930</v>
      </c>
      <c r="L44" s="22">
        <f>'Historical Data'!L59</f>
        <v>539930</v>
      </c>
      <c r="M44" s="22">
        <f>'Historical Data'!M59</f>
        <v>539930</v>
      </c>
      <c r="N44" s="104">
        <f>'Assumptions and Drivers'!N39</f>
        <v>539930</v>
      </c>
      <c r="O44" s="104">
        <f>'Assumptions and Drivers'!O39</f>
        <v>539930</v>
      </c>
      <c r="P44" s="104">
        <f>'Assumptions and Drivers'!P39</f>
        <v>539930</v>
      </c>
      <c r="Q44" s="104">
        <f>'Assumptions and Drivers'!Q39</f>
        <v>539930</v>
      </c>
      <c r="R44" s="104">
        <f>'Assumptions and Drivers'!R39</f>
        <v>539930</v>
      </c>
    </row>
    <row r="45" spans="3:18" x14ac:dyDescent="0.25">
      <c r="C45" t="s">
        <v>113</v>
      </c>
      <c r="I45" s="22">
        <f>'Historical Data'!I60</f>
        <v>1224776</v>
      </c>
      <c r="J45" s="22">
        <f>'Historical Data'!J60</f>
        <v>1224776</v>
      </c>
      <c r="K45" s="22">
        <f>'Historical Data'!K60</f>
        <v>1224776</v>
      </c>
      <c r="L45" s="22">
        <f>'Historical Data'!L60</f>
        <v>1224776</v>
      </c>
      <c r="M45" s="22">
        <f>'Historical Data'!M60</f>
        <v>1224776</v>
      </c>
      <c r="N45" s="104">
        <f>'Assumptions and Drivers'!N40</f>
        <v>1224776</v>
      </c>
      <c r="O45" s="104">
        <f>'Assumptions and Drivers'!O40</f>
        <v>1224776</v>
      </c>
      <c r="P45" s="104">
        <f>'Assumptions and Drivers'!P40</f>
        <v>1224776</v>
      </c>
      <c r="Q45" s="104">
        <f>'Assumptions and Drivers'!Q40</f>
        <v>1224776</v>
      </c>
      <c r="R45" s="104">
        <f>'Assumptions and Drivers'!R40</f>
        <v>1224776</v>
      </c>
    </row>
    <row r="46" spans="3:18" ht="15.75" thickBot="1" x14ac:dyDescent="0.3">
      <c r="C46" t="s">
        <v>114</v>
      </c>
      <c r="I46" s="22">
        <f>'Historical Data'!I61</f>
        <v>-280325</v>
      </c>
      <c r="J46" s="22">
        <f>'Historical Data'!J61</f>
        <v>-422464</v>
      </c>
      <c r="K46" s="22">
        <f>'Historical Data'!K61</f>
        <v>-467032</v>
      </c>
      <c r="L46" s="22">
        <f>'Historical Data'!L61</f>
        <v>-511600</v>
      </c>
      <c r="M46" s="22">
        <f>'Historical Data'!M61</f>
        <v>-511600</v>
      </c>
      <c r="N46" s="104">
        <f>'Assumptions and Drivers'!N41</f>
        <v>-556168</v>
      </c>
      <c r="O46" s="104">
        <f>'Assumptions and Drivers'!O41</f>
        <v>-600736</v>
      </c>
      <c r="P46" s="104">
        <f>'Assumptions and Drivers'!P41</f>
        <v>-689005.49731931672</v>
      </c>
      <c r="Q46" s="104">
        <f ca="1">'Assumptions and Drivers'!Q41</f>
        <v>-689872</v>
      </c>
      <c r="R46" s="104">
        <f ca="1">'Assumptions and Drivers'!R41</f>
        <v>-734440</v>
      </c>
    </row>
    <row r="47" spans="3:18" ht="15.75" thickTop="1" x14ac:dyDescent="0.25">
      <c r="C47" s="34" t="s">
        <v>115</v>
      </c>
      <c r="D47" s="25"/>
      <c r="E47" s="25"/>
      <c r="F47" s="25"/>
      <c r="G47" s="25"/>
      <c r="H47" s="25"/>
      <c r="I47" s="28">
        <f t="shared" ref="I47:N47" si="11">I44+I45+I46</f>
        <v>1484381</v>
      </c>
      <c r="J47" s="28">
        <f t="shared" si="11"/>
        <v>1342242</v>
      </c>
      <c r="K47" s="28">
        <f t="shared" si="11"/>
        <v>1297674</v>
      </c>
      <c r="L47" s="28">
        <f t="shared" si="11"/>
        <v>1253106</v>
      </c>
      <c r="M47" s="28">
        <f t="shared" si="11"/>
        <v>1253106</v>
      </c>
      <c r="N47" s="106">
        <f t="shared" si="11"/>
        <v>1208538</v>
      </c>
      <c r="O47" s="106">
        <f t="shared" ref="O47:R47" si="12">O44+O45+O46</f>
        <v>1163970</v>
      </c>
      <c r="P47" s="106">
        <f t="shared" si="12"/>
        <v>1075700.5026806833</v>
      </c>
      <c r="Q47" s="106">
        <f t="shared" ca="1" si="12"/>
        <v>1074834</v>
      </c>
      <c r="R47" s="106">
        <f t="shared" ca="1" si="12"/>
        <v>1030266</v>
      </c>
    </row>
    <row r="48" spans="3:18" x14ac:dyDescent="0.25">
      <c r="C48" s="35" t="s">
        <v>116</v>
      </c>
      <c r="D48" s="29"/>
      <c r="E48" s="29"/>
      <c r="F48" s="29"/>
      <c r="G48" s="29"/>
      <c r="H48" s="29"/>
      <c r="I48" s="36">
        <f t="shared" ref="I48:N48" si="13">I47+I41</f>
        <v>1533853</v>
      </c>
      <c r="J48" s="36">
        <f t="shared" si="13"/>
        <v>1391714</v>
      </c>
      <c r="K48" s="36">
        <f t="shared" si="13"/>
        <v>1347146</v>
      </c>
      <c r="L48" s="36">
        <f t="shared" si="13"/>
        <v>1302578</v>
      </c>
      <c r="M48" s="36">
        <f t="shared" si="13"/>
        <v>1302578</v>
      </c>
      <c r="N48" s="104">
        <f t="shared" si="13"/>
        <v>1258010</v>
      </c>
      <c r="O48" s="104">
        <f t="shared" ref="O48:R48" si="14">O47+O41</f>
        <v>1213442</v>
      </c>
      <c r="P48" s="104">
        <f t="shared" si="14"/>
        <v>1125172.5026806833</v>
      </c>
      <c r="Q48" s="104">
        <f t="shared" ca="1" si="14"/>
        <v>1124306</v>
      </c>
      <c r="R48" s="104">
        <f t="shared" ca="1" si="14"/>
        <v>1079738</v>
      </c>
    </row>
    <row r="49" spans="11:16" x14ac:dyDescent="0.25">
      <c r="K49" s="29"/>
      <c r="L49" s="29"/>
      <c r="M49" s="29"/>
      <c r="N49" s="29"/>
      <c r="O49" s="29"/>
      <c r="P49" s="29"/>
    </row>
  </sheetData>
  <conditionalFormatting sqref="E15">
    <cfRule type="containsText" dxfId="3" priority="4" operator="containsText" text="Good">
      <formula>NOT(ISERROR(SEARCH("Good",E15)))</formula>
    </cfRule>
  </conditionalFormatting>
  <conditionalFormatting sqref="I3:R3">
    <cfRule type="containsText" dxfId="2" priority="3" operator="containsText" text="Good">
      <formula>NOT(ISERROR(SEARCH("Good",I3)))</formula>
    </cfRule>
  </conditionalFormatting>
  <conditionalFormatting sqref="I4:I5 J4:R4">
    <cfRule type="containsText" dxfId="1" priority="2" operator="containsText" text="Error">
      <formula>NOT(ISERROR(SEARCH("Error",I4)))</formula>
    </cfRule>
  </conditionalFormatting>
  <conditionalFormatting sqref="I23">
    <cfRule type="containsText" dxfId="0" priority="1" operator="containsText" text="Error">
      <formula>NOT(ISERROR(SEARCH("Error",I23)))</formula>
    </cfRule>
  </conditionalFormatting>
  <hyperlinks>
    <hyperlink ref="Q5" location="'Model Guide'!A1" display="MODEL GUIDE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40"/>
  <sheetViews>
    <sheetView showGridLines="0" workbookViewId="0">
      <selection activeCell="J28" sqref="J28"/>
    </sheetView>
  </sheetViews>
  <sheetFormatPr defaultRowHeight="15" x14ac:dyDescent="0.25"/>
  <cols>
    <col min="7" max="7" width="9.140625" style="53"/>
    <col min="10" max="10" width="9.7109375" bestFit="1" customWidth="1"/>
    <col min="14" max="14" width="10" bestFit="1" customWidth="1"/>
  </cols>
  <sheetData>
    <row r="2" spans="2:18" x14ac:dyDescent="0.25">
      <c r="Q2" s="8" t="s">
        <v>47</v>
      </c>
      <c r="R2" s="9"/>
    </row>
    <row r="3" spans="2:18" x14ac:dyDescent="0.25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10"/>
      <c r="O3" s="10"/>
      <c r="P3" s="10"/>
      <c r="Q3" s="10"/>
      <c r="R3" s="10"/>
    </row>
    <row r="4" spans="2:18" ht="26.25" x14ac:dyDescent="0.4">
      <c r="B4" s="7"/>
      <c r="C4" s="18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10"/>
      <c r="O4" s="10"/>
      <c r="P4" s="10"/>
      <c r="Q4" s="10"/>
      <c r="R4" s="10"/>
    </row>
    <row r="5" spans="2:18" x14ac:dyDescent="0.25">
      <c r="B5" s="7"/>
      <c r="C5" s="7" t="s">
        <v>40</v>
      </c>
      <c r="D5" s="7"/>
      <c r="E5" s="7"/>
      <c r="F5" s="7"/>
      <c r="G5" s="7"/>
      <c r="H5" s="7"/>
      <c r="I5" s="13">
        <v>43466</v>
      </c>
      <c r="J5" s="13">
        <v>43831</v>
      </c>
      <c r="K5" s="13">
        <v>44197</v>
      </c>
      <c r="L5" s="13">
        <v>44562</v>
      </c>
      <c r="M5" s="13">
        <v>44927</v>
      </c>
      <c r="N5" s="19">
        <v>45292</v>
      </c>
      <c r="O5" s="19">
        <v>45658</v>
      </c>
      <c r="P5" s="19">
        <v>46023</v>
      </c>
      <c r="Q5" s="19">
        <v>46388</v>
      </c>
      <c r="R5" s="19">
        <v>46753</v>
      </c>
    </row>
    <row r="6" spans="2:18" x14ac:dyDescent="0.25">
      <c r="B6" s="7"/>
      <c r="C6" s="7" t="s">
        <v>41</v>
      </c>
      <c r="D6" s="7"/>
      <c r="E6" s="7"/>
      <c r="F6" s="7"/>
      <c r="G6" s="7"/>
      <c r="H6" s="13">
        <v>43465</v>
      </c>
      <c r="I6" s="13">
        <v>43830</v>
      </c>
      <c r="J6" s="13">
        <v>44196</v>
      </c>
      <c r="K6" s="13">
        <v>44561</v>
      </c>
      <c r="L6" s="13">
        <v>44926</v>
      </c>
      <c r="M6" s="13">
        <v>45291</v>
      </c>
      <c r="N6" s="19">
        <v>45657</v>
      </c>
      <c r="O6" s="19">
        <v>46022</v>
      </c>
      <c r="P6" s="19">
        <v>46387</v>
      </c>
      <c r="Q6" s="19">
        <v>46752</v>
      </c>
      <c r="R6" s="19">
        <v>47118</v>
      </c>
    </row>
    <row r="7" spans="2:18" x14ac:dyDescent="0.25">
      <c r="B7" s="7"/>
      <c r="C7" s="7" t="s">
        <v>42</v>
      </c>
      <c r="D7" s="7"/>
      <c r="E7" s="7"/>
      <c r="F7" s="7"/>
      <c r="G7" s="7"/>
      <c r="H7" s="7"/>
      <c r="I7" s="16">
        <v>2019</v>
      </c>
      <c r="J7" s="16">
        <v>2020</v>
      </c>
      <c r="K7" s="16">
        <v>2021</v>
      </c>
      <c r="L7" s="16">
        <v>2022</v>
      </c>
      <c r="M7" s="16">
        <v>2023</v>
      </c>
      <c r="N7" s="20">
        <v>2023</v>
      </c>
      <c r="O7" s="20">
        <v>2024</v>
      </c>
      <c r="P7" s="20">
        <v>2025</v>
      </c>
      <c r="Q7" s="20">
        <v>2026</v>
      </c>
      <c r="R7" s="20">
        <v>2027</v>
      </c>
    </row>
    <row r="8" spans="2:18" x14ac:dyDescent="0.25">
      <c r="B8" s="7"/>
      <c r="C8" s="7" t="s">
        <v>43</v>
      </c>
      <c r="D8" s="7"/>
      <c r="E8" s="7"/>
      <c r="F8" s="7"/>
      <c r="G8" s="7"/>
      <c r="H8" s="7"/>
      <c r="I8" s="7">
        <v>365</v>
      </c>
      <c r="J8" s="7">
        <v>365</v>
      </c>
      <c r="K8" s="7">
        <v>365</v>
      </c>
      <c r="L8" s="7">
        <v>365</v>
      </c>
      <c r="M8" s="7">
        <v>365</v>
      </c>
      <c r="N8" s="10">
        <v>365</v>
      </c>
      <c r="O8" s="10">
        <v>365</v>
      </c>
      <c r="P8" s="10">
        <v>365</v>
      </c>
      <c r="Q8" s="10">
        <v>365</v>
      </c>
      <c r="R8" s="10">
        <v>365</v>
      </c>
    </row>
    <row r="9" spans="2:18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10"/>
      <c r="O9" s="10"/>
      <c r="P9" s="10"/>
      <c r="Q9" s="10"/>
      <c r="R9" s="10"/>
    </row>
    <row r="13" spans="2:18" x14ac:dyDescent="0.25">
      <c r="C13" s="1" t="s">
        <v>44</v>
      </c>
      <c r="G13" s="58" t="s">
        <v>45</v>
      </c>
    </row>
    <row r="15" spans="2:18" x14ac:dyDescent="0.25">
      <c r="C15" s="1"/>
    </row>
    <row r="16" spans="2:18" ht="15.75" x14ac:dyDescent="0.25">
      <c r="C16" s="49" t="s">
        <v>165</v>
      </c>
    </row>
    <row r="17" spans="3:18" x14ac:dyDescent="0.25">
      <c r="C17" t="s">
        <v>166</v>
      </c>
      <c r="I17" s="22"/>
      <c r="N17" s="99">
        <f>IS!N25</f>
        <v>-44568</v>
      </c>
      <c r="O17" s="99">
        <f>IS!O25</f>
        <v>-44568</v>
      </c>
      <c r="P17" s="99">
        <f>IS!P25</f>
        <v>-88269.49731931671</v>
      </c>
      <c r="Q17" s="99">
        <f ca="1">IS!Q25</f>
        <v>-44568</v>
      </c>
      <c r="R17" s="99">
        <f ca="1">IS!R25</f>
        <v>-44568</v>
      </c>
    </row>
    <row r="18" spans="3:18" x14ac:dyDescent="0.25">
      <c r="C18" t="s">
        <v>167</v>
      </c>
      <c r="I18" s="22"/>
      <c r="N18" s="99">
        <f>IS!N24</f>
        <v>0</v>
      </c>
      <c r="O18" s="99">
        <f>IS!O24</f>
        <v>0</v>
      </c>
      <c r="P18" s="99">
        <f>IS!P24</f>
        <v>43701.49731931671</v>
      </c>
      <c r="Q18" s="99">
        <f ca="1">IS!Q24</f>
        <v>0</v>
      </c>
      <c r="R18" s="99">
        <f ca="1">IS!R24</f>
        <v>0</v>
      </c>
    </row>
    <row r="19" spans="3:18" x14ac:dyDescent="0.25">
      <c r="C19" t="s">
        <v>92</v>
      </c>
      <c r="I19" s="22"/>
      <c r="N19" s="99">
        <f>IS!N27</f>
        <v>0</v>
      </c>
      <c r="O19" s="99">
        <f>IS!O27</f>
        <v>0</v>
      </c>
      <c r="P19" s="99">
        <f>IS!P27</f>
        <v>0</v>
      </c>
      <c r="Q19" s="99">
        <f ca="1">IS!Q27</f>
        <v>0</v>
      </c>
      <c r="R19" s="99">
        <f ca="1">IS!R27</f>
        <v>0</v>
      </c>
    </row>
    <row r="20" spans="3:18" x14ac:dyDescent="0.25">
      <c r="C20" t="s">
        <v>168</v>
      </c>
      <c r="I20" s="22"/>
      <c r="N20" s="101">
        <f>IS!N30</f>
        <v>0</v>
      </c>
      <c r="O20" s="101">
        <f>IS!O30</f>
        <v>0</v>
      </c>
      <c r="P20" s="101">
        <f>IS!P30</f>
        <v>0</v>
      </c>
      <c r="Q20" s="101">
        <f>IS!Q30</f>
        <v>0</v>
      </c>
      <c r="R20" s="101">
        <f>IS!R30</f>
        <v>0</v>
      </c>
    </row>
    <row r="21" spans="3:18" ht="15.75" thickBot="1" x14ac:dyDescent="0.3">
      <c r="C21" s="23" t="s">
        <v>170</v>
      </c>
      <c r="D21" s="1"/>
      <c r="N21" s="99">
        <f>'Assumptions and Drivers'!N86</f>
        <v>-2</v>
      </c>
      <c r="O21" s="99">
        <f>'Assumptions and Drivers'!O86</f>
        <v>-0.40000000000145519</v>
      </c>
      <c r="P21" s="99">
        <f>'Assumptions and Drivers'!P86</f>
        <v>-0.27999999999883585</v>
      </c>
      <c r="Q21" s="99">
        <f>'Assumptions and Drivers'!Q86</f>
        <v>-0.13599999999860302</v>
      </c>
      <c r="R21" s="99">
        <f>'Assumptions and Drivers'!R86</f>
        <v>3.6800000001676381E-2</v>
      </c>
    </row>
    <row r="22" spans="3:18" s="53" customFormat="1" x14ac:dyDescent="0.25">
      <c r="C22" s="58" t="s">
        <v>169</v>
      </c>
      <c r="I22" s="69"/>
      <c r="J22" s="69"/>
      <c r="K22" s="69"/>
      <c r="L22" s="69"/>
      <c r="M22" s="69"/>
      <c r="N22" s="107">
        <f>SUM(N17:N21)</f>
        <v>-44570</v>
      </c>
      <c r="O22" s="107">
        <f t="shared" ref="O22:R22" si="0">SUM(O17:O21)</f>
        <v>-44568.4</v>
      </c>
      <c r="P22" s="107">
        <f t="shared" si="0"/>
        <v>-44568.28</v>
      </c>
      <c r="Q22" s="107">
        <f t="shared" ca="1" si="0"/>
        <v>-79005</v>
      </c>
      <c r="R22" s="107">
        <f t="shared" ca="1" si="0"/>
        <v>-79005</v>
      </c>
    </row>
    <row r="23" spans="3:18" x14ac:dyDescent="0.25">
      <c r="N23" s="97"/>
      <c r="O23" s="97"/>
      <c r="P23" s="97"/>
      <c r="Q23" s="97"/>
      <c r="R23" s="97"/>
    </row>
    <row r="24" spans="3:18" x14ac:dyDescent="0.25">
      <c r="C24" s="1" t="s">
        <v>179</v>
      </c>
      <c r="N24" s="97"/>
      <c r="O24" s="97"/>
      <c r="P24" s="97"/>
      <c r="Q24" s="97"/>
      <c r="R24" s="97"/>
    </row>
    <row r="25" spans="3:18" ht="15.75" thickBot="1" x14ac:dyDescent="0.3">
      <c r="C25" s="23" t="s">
        <v>178</v>
      </c>
      <c r="N25" s="99">
        <f>'Assumptions and Drivers'!N57</f>
        <v>0</v>
      </c>
      <c r="O25" s="99">
        <f>'Assumptions and Drivers'!O57</f>
        <v>0</v>
      </c>
      <c r="P25" s="99">
        <f>-'Assumptions and Drivers'!P57</f>
        <v>-131104.49195795011</v>
      </c>
      <c r="Q25" s="99">
        <f ca="1">'Assumptions and Drivers'!Q57</f>
        <v>0</v>
      </c>
      <c r="R25" s="99">
        <f ca="1">'Assumptions and Drivers'!R57</f>
        <v>0</v>
      </c>
    </row>
    <row r="26" spans="3:18" x14ac:dyDescent="0.25">
      <c r="C26" s="1" t="s">
        <v>177</v>
      </c>
      <c r="I26" s="62"/>
      <c r="J26" s="62"/>
      <c r="K26" s="62"/>
      <c r="L26" s="62"/>
      <c r="M26" s="62"/>
      <c r="N26" s="108">
        <f>SUM(N25)</f>
        <v>0</v>
      </c>
      <c r="O26" s="108">
        <f t="shared" ref="O26:R26" si="1">SUM(O25)</f>
        <v>0</v>
      </c>
      <c r="P26" s="108">
        <f>SUM(P25)</f>
        <v>-131104.49195795011</v>
      </c>
      <c r="Q26" s="108">
        <f t="shared" ca="1" si="1"/>
        <v>0</v>
      </c>
      <c r="R26" s="108">
        <f t="shared" ca="1" si="1"/>
        <v>0</v>
      </c>
    </row>
    <row r="27" spans="3:18" x14ac:dyDescent="0.25">
      <c r="N27" s="97"/>
      <c r="O27" s="97"/>
      <c r="P27" s="97"/>
      <c r="Q27" s="97"/>
      <c r="R27" s="97"/>
    </row>
    <row r="28" spans="3:18" x14ac:dyDescent="0.25">
      <c r="C28" s="1" t="s">
        <v>180</v>
      </c>
      <c r="N28" s="97"/>
      <c r="O28" s="97"/>
      <c r="P28" s="97"/>
      <c r="Q28" s="97"/>
      <c r="R28" s="97"/>
    </row>
    <row r="29" spans="3:18" x14ac:dyDescent="0.25">
      <c r="C29" t="s">
        <v>182</v>
      </c>
      <c r="N29" s="97">
        <f>'Assumptions and Drivers'!M88</f>
        <v>0</v>
      </c>
      <c r="O29" s="97">
        <f>'Assumptions and Drivers'!N88</f>
        <v>0</v>
      </c>
      <c r="P29" s="97">
        <f>'Assumptions and Drivers'!O88</f>
        <v>0</v>
      </c>
      <c r="Q29" s="97">
        <f>'Assumptions and Drivers'!P88</f>
        <v>0</v>
      </c>
      <c r="R29" s="97">
        <f>'Assumptions and Drivers'!Q88</f>
        <v>0</v>
      </c>
    </row>
    <row r="30" spans="3:18" x14ac:dyDescent="0.25">
      <c r="C30" t="s">
        <v>181</v>
      </c>
      <c r="N30" s="97">
        <f>'Assumptions and Drivers'!M89</f>
        <v>0</v>
      </c>
      <c r="O30" s="97">
        <f>'Assumptions and Drivers'!N89</f>
        <v>0</v>
      </c>
      <c r="P30" s="97">
        <f>'Assumptions and Drivers'!O89</f>
        <v>0</v>
      </c>
      <c r="Q30" s="97">
        <f>'Assumptions and Drivers'!P89</f>
        <v>0</v>
      </c>
      <c r="R30" s="97">
        <f>'Assumptions and Drivers'!Q89</f>
        <v>0</v>
      </c>
    </row>
    <row r="31" spans="3:18" x14ac:dyDescent="0.25">
      <c r="C31" t="s">
        <v>183</v>
      </c>
      <c r="N31" s="97">
        <f>'Assumptions and Drivers'!M67</f>
        <v>0</v>
      </c>
      <c r="O31" s="97">
        <f>'Assumptions and Drivers'!N67</f>
        <v>0</v>
      </c>
      <c r="P31" s="97">
        <f>'Assumptions and Drivers'!O67</f>
        <v>0</v>
      </c>
      <c r="Q31" s="97">
        <f>'Assumptions and Drivers'!P67</f>
        <v>0</v>
      </c>
      <c r="R31" s="97">
        <f ca="1">'Assumptions and Drivers'!Q67</f>
        <v>0</v>
      </c>
    </row>
    <row r="32" spans="3:18" ht="15.75" thickBot="1" x14ac:dyDescent="0.3">
      <c r="C32" t="s">
        <v>184</v>
      </c>
      <c r="N32" s="97">
        <f>'Assumptions and Drivers'!M91</f>
        <v>0</v>
      </c>
      <c r="O32" s="97">
        <f>'Assumptions and Drivers'!N91</f>
        <v>0</v>
      </c>
      <c r="P32" s="97">
        <f>'Assumptions and Drivers'!O91</f>
        <v>0</v>
      </c>
      <c r="Q32" s="97">
        <f>'Assumptions and Drivers'!P91</f>
        <v>0</v>
      </c>
      <c r="R32" s="97">
        <f>'Assumptions and Drivers'!Q91</f>
        <v>0</v>
      </c>
    </row>
    <row r="33" spans="3:18" x14ac:dyDescent="0.25">
      <c r="C33" s="1" t="s">
        <v>185</v>
      </c>
      <c r="I33" s="62"/>
      <c r="J33" s="62"/>
      <c r="K33" s="62"/>
      <c r="L33" s="62"/>
      <c r="M33" s="62"/>
      <c r="N33" s="109">
        <f>SUM(N29:N32)</f>
        <v>0</v>
      </c>
      <c r="O33" s="109">
        <f>SUM(O29:O32)</f>
        <v>0</v>
      </c>
      <c r="P33" s="109">
        <f t="shared" ref="P33:R33" si="2">SUM(P29:P32)</f>
        <v>0</v>
      </c>
      <c r="Q33" s="109">
        <f t="shared" si="2"/>
        <v>0</v>
      </c>
      <c r="R33" s="109">
        <f t="shared" ca="1" si="2"/>
        <v>0</v>
      </c>
    </row>
    <row r="34" spans="3:18" x14ac:dyDescent="0.25">
      <c r="N34" s="97"/>
      <c r="O34" s="97"/>
      <c r="P34" s="97"/>
      <c r="Q34" s="97"/>
      <c r="R34" s="97"/>
    </row>
    <row r="35" spans="3:18" x14ac:dyDescent="0.25">
      <c r="C35" s="1" t="s">
        <v>186</v>
      </c>
      <c r="N35" s="99">
        <f>N33+N26+N22</f>
        <v>-44570</v>
      </c>
      <c r="O35" s="99">
        <f>O33+O26+O22</f>
        <v>-44568.4</v>
      </c>
      <c r="P35" s="99">
        <f t="shared" ref="P35:R35" si="3">P33+P26+P22</f>
        <v>-175672.77195795011</v>
      </c>
      <c r="Q35" s="99">
        <f t="shared" ca="1" si="3"/>
        <v>-44568.4</v>
      </c>
      <c r="R35" s="99">
        <f t="shared" ca="1" si="3"/>
        <v>-44568.4</v>
      </c>
    </row>
    <row r="36" spans="3:18" x14ac:dyDescent="0.25">
      <c r="N36" s="97"/>
      <c r="O36" s="97"/>
      <c r="P36" s="97"/>
      <c r="Q36" s="97"/>
      <c r="R36" s="97"/>
    </row>
    <row r="37" spans="3:18" x14ac:dyDescent="0.25">
      <c r="C37" s="1" t="s">
        <v>187</v>
      </c>
      <c r="N37" s="97"/>
      <c r="O37" s="97"/>
      <c r="P37" s="97"/>
      <c r="Q37" s="97"/>
      <c r="R37" s="97"/>
    </row>
    <row r="38" spans="3:18" x14ac:dyDescent="0.25">
      <c r="C38" t="s">
        <v>188</v>
      </c>
      <c r="N38" s="99">
        <f>M40</f>
        <v>1057</v>
      </c>
      <c r="O38" s="99">
        <f t="shared" ref="O38:R38" si="4">N40</f>
        <v>-43513</v>
      </c>
      <c r="P38" s="99">
        <f t="shared" si="4"/>
        <v>-88081.4</v>
      </c>
      <c r="Q38" s="99">
        <f t="shared" si="4"/>
        <v>-263754.17195795011</v>
      </c>
      <c r="R38" s="99">
        <f t="shared" ca="1" si="4"/>
        <v>1057</v>
      </c>
    </row>
    <row r="39" spans="3:18" ht="15.75" thickBot="1" x14ac:dyDescent="0.3">
      <c r="C39" s="23" t="s">
        <v>189</v>
      </c>
      <c r="N39" s="99">
        <f>N35</f>
        <v>-44570</v>
      </c>
      <c r="O39" s="99">
        <f t="shared" ref="O39:R39" si="5">O35</f>
        <v>-44568.4</v>
      </c>
      <c r="P39" s="99">
        <f t="shared" si="5"/>
        <v>-175672.77195795011</v>
      </c>
      <c r="Q39" s="99">
        <f t="shared" ca="1" si="5"/>
        <v>-44570</v>
      </c>
      <c r="R39" s="99">
        <f t="shared" ca="1" si="5"/>
        <v>-44570</v>
      </c>
    </row>
    <row r="40" spans="3:18" x14ac:dyDescent="0.25">
      <c r="C40" s="1" t="s">
        <v>190</v>
      </c>
      <c r="I40" s="60"/>
      <c r="J40" s="60"/>
      <c r="K40" s="60"/>
      <c r="L40" s="60"/>
      <c r="M40" s="70">
        <f>SOFP!M21</f>
        <v>1057</v>
      </c>
      <c r="N40" s="110">
        <f>SUM(N38:N39)</f>
        <v>-43513</v>
      </c>
      <c r="O40" s="110">
        <f t="shared" ref="O40:R40" si="6">SUM(O38:O39)</f>
        <v>-88081.4</v>
      </c>
      <c r="P40" s="110">
        <f t="shared" si="6"/>
        <v>-263754.17195795011</v>
      </c>
      <c r="Q40" s="110">
        <f t="shared" ca="1" si="6"/>
        <v>-43513</v>
      </c>
      <c r="R40" s="110">
        <f t="shared" ca="1" si="6"/>
        <v>-43513</v>
      </c>
    </row>
  </sheetData>
  <hyperlinks>
    <hyperlink ref="Q2" location="'Model Guide'!A1" display="MODEL GUIDE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49"/>
  <sheetViews>
    <sheetView showGridLines="0" tabSelected="1" topLeftCell="A18" zoomScale="58" workbookViewId="0">
      <selection activeCell="Y15" sqref="Y15"/>
    </sheetView>
  </sheetViews>
  <sheetFormatPr defaultRowHeight="15" x14ac:dyDescent="0.25"/>
  <sheetData>
    <row r="2" spans="1:18" x14ac:dyDescent="0.25">
      <c r="Q2" s="8"/>
      <c r="R2" s="9"/>
    </row>
    <row r="3" spans="1:18" ht="18.75" x14ac:dyDescent="0.3">
      <c r="A3" s="10"/>
      <c r="B3" s="10"/>
      <c r="C3" s="10"/>
      <c r="D3" s="75" t="s">
        <v>191</v>
      </c>
      <c r="E3" s="10"/>
      <c r="F3" s="10"/>
      <c r="G3" s="10"/>
      <c r="H3" s="10"/>
      <c r="I3" s="10"/>
      <c r="J3" s="10"/>
      <c r="K3" s="10"/>
      <c r="L3" s="10"/>
      <c r="M3" s="53"/>
    </row>
    <row r="4" spans="1:18" ht="18.75" customHeight="1" x14ac:dyDescent="0.4">
      <c r="B4" s="53"/>
      <c r="C4" s="71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</row>
    <row r="5" spans="1:18" x14ac:dyDescent="0.25">
      <c r="B5" s="53"/>
      <c r="C5" s="53"/>
      <c r="D5" s="53"/>
      <c r="E5" s="53"/>
      <c r="F5" s="53"/>
      <c r="G5" s="53"/>
      <c r="H5" s="53"/>
      <c r="I5" s="72"/>
      <c r="J5" s="72"/>
      <c r="K5" s="72"/>
      <c r="L5" s="72"/>
      <c r="M5" s="72"/>
      <c r="N5" s="72"/>
      <c r="O5" s="72"/>
      <c r="P5" s="72"/>
      <c r="Q5" s="72"/>
      <c r="R5" s="72"/>
    </row>
    <row r="6" spans="1:18" x14ac:dyDescent="0.25">
      <c r="B6" s="53"/>
      <c r="C6" s="53"/>
      <c r="D6" s="53"/>
      <c r="E6" s="53"/>
      <c r="F6" s="53"/>
      <c r="G6" s="53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</row>
    <row r="7" spans="1:18" x14ac:dyDescent="0.25">
      <c r="B7" s="53"/>
      <c r="C7" s="53"/>
      <c r="D7" s="53"/>
      <c r="E7" s="53"/>
      <c r="F7" s="53"/>
      <c r="G7" s="53"/>
      <c r="H7" s="53"/>
      <c r="I7" s="73"/>
      <c r="J7" s="73"/>
      <c r="K7" s="73"/>
      <c r="L7" s="73"/>
      <c r="M7" s="73"/>
      <c r="N7" s="74"/>
      <c r="O7" s="74"/>
      <c r="P7" s="74"/>
      <c r="Q7" s="74"/>
      <c r="R7" s="74"/>
    </row>
    <row r="8" spans="1:18" x14ac:dyDescent="0.25"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</row>
    <row r="9" spans="1:18" x14ac:dyDescent="0.25"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</row>
    <row r="15" spans="1:18" x14ac:dyDescent="0.25">
      <c r="C15" s="1"/>
    </row>
    <row r="18" spans="1:12" ht="18.75" x14ac:dyDescent="0.3">
      <c r="A18" s="10"/>
      <c r="B18" s="10"/>
      <c r="C18" s="10"/>
      <c r="D18" s="75" t="s">
        <v>192</v>
      </c>
      <c r="E18" s="10"/>
      <c r="F18" s="10"/>
      <c r="G18" s="10"/>
      <c r="H18" s="10"/>
      <c r="I18" s="10"/>
      <c r="J18" s="10"/>
      <c r="K18" s="10"/>
      <c r="L18" s="10"/>
    </row>
    <row r="34" spans="1:12" ht="18.75" x14ac:dyDescent="0.3">
      <c r="A34" s="10"/>
      <c r="B34" s="10"/>
      <c r="C34" s="75"/>
      <c r="D34" s="75" t="s">
        <v>193</v>
      </c>
      <c r="E34" s="10"/>
      <c r="F34" s="10"/>
      <c r="G34" s="10"/>
      <c r="H34" s="10"/>
      <c r="I34" s="10"/>
      <c r="J34" s="10"/>
      <c r="K34" s="10"/>
      <c r="L34" s="10"/>
    </row>
    <row r="49" spans="1:12" ht="18.75" x14ac:dyDescent="0.3">
      <c r="A49" s="10"/>
      <c r="B49" s="10"/>
      <c r="C49" s="75"/>
      <c r="D49" s="75" t="s">
        <v>194</v>
      </c>
      <c r="E49" s="10"/>
      <c r="F49" s="10"/>
      <c r="G49" s="10"/>
      <c r="H49" s="10"/>
      <c r="I49" s="10"/>
      <c r="J49" s="10"/>
      <c r="K49" s="10"/>
      <c r="L49" s="10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T41"/>
  <sheetViews>
    <sheetView showGridLines="0" topLeftCell="A2" zoomScale="72" workbookViewId="0">
      <selection activeCell="E23" sqref="E23"/>
    </sheetView>
  </sheetViews>
  <sheetFormatPr defaultRowHeight="15" x14ac:dyDescent="0.25"/>
  <sheetData>
    <row r="4" spans="3:19" x14ac:dyDescent="0.25">
      <c r="R4" s="8" t="s">
        <v>47</v>
      </c>
      <c r="S4" s="9"/>
    </row>
    <row r="5" spans="3:19" x14ac:dyDescent="0.25"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0"/>
      <c r="P5" s="10"/>
      <c r="Q5" s="10"/>
      <c r="R5" s="10"/>
      <c r="S5" s="10"/>
    </row>
    <row r="6" spans="3:19" ht="26.25" x14ac:dyDescent="0.4">
      <c r="C6" s="7"/>
      <c r="D6" s="18" t="s">
        <v>1</v>
      </c>
      <c r="E6" s="7"/>
      <c r="F6" s="7"/>
      <c r="G6" s="7"/>
      <c r="H6" s="7"/>
      <c r="I6" s="7"/>
      <c r="J6" s="7"/>
      <c r="K6" s="7"/>
      <c r="L6" s="7"/>
      <c r="M6" s="7"/>
      <c r="N6" s="7"/>
      <c r="O6" s="10"/>
      <c r="P6" s="10"/>
      <c r="Q6" s="10"/>
      <c r="R6" s="10"/>
      <c r="S6" s="10"/>
    </row>
    <row r="7" spans="3:19" x14ac:dyDescent="0.25">
      <c r="C7" s="7"/>
      <c r="D7" s="7" t="s">
        <v>40</v>
      </c>
      <c r="E7" s="7"/>
      <c r="F7" s="7"/>
      <c r="G7" s="7"/>
      <c r="H7" s="7"/>
      <c r="I7" s="7"/>
      <c r="J7" s="13">
        <v>43466</v>
      </c>
      <c r="K7" s="13">
        <v>43831</v>
      </c>
      <c r="L7" s="13">
        <v>44197</v>
      </c>
      <c r="M7" s="13">
        <v>44562</v>
      </c>
      <c r="N7" s="13">
        <v>44927</v>
      </c>
      <c r="O7" s="19">
        <v>45292</v>
      </c>
      <c r="P7" s="19">
        <v>45658</v>
      </c>
      <c r="Q7" s="19">
        <v>46023</v>
      </c>
      <c r="R7" s="19">
        <v>46388</v>
      </c>
      <c r="S7" s="19">
        <v>46753</v>
      </c>
    </row>
    <row r="8" spans="3:19" x14ac:dyDescent="0.25">
      <c r="C8" s="7"/>
      <c r="D8" s="7" t="s">
        <v>41</v>
      </c>
      <c r="E8" s="7"/>
      <c r="F8" s="7"/>
      <c r="G8" s="7"/>
      <c r="H8" s="7"/>
      <c r="I8" s="13">
        <v>43465</v>
      </c>
      <c r="J8" s="13">
        <v>43830</v>
      </c>
      <c r="K8" s="13">
        <v>44196</v>
      </c>
      <c r="L8" s="13">
        <v>44561</v>
      </c>
      <c r="M8" s="13">
        <v>44926</v>
      </c>
      <c r="N8" s="13">
        <v>45291</v>
      </c>
      <c r="O8" s="19">
        <v>45657</v>
      </c>
      <c r="P8" s="19">
        <v>46022</v>
      </c>
      <c r="Q8" s="19">
        <v>46387</v>
      </c>
      <c r="R8" s="19">
        <v>46752</v>
      </c>
      <c r="S8" s="19">
        <v>47118</v>
      </c>
    </row>
    <row r="9" spans="3:19" x14ac:dyDescent="0.25">
      <c r="C9" s="7"/>
      <c r="D9" s="7" t="s">
        <v>42</v>
      </c>
      <c r="E9" s="7"/>
      <c r="F9" s="7"/>
      <c r="G9" s="7"/>
      <c r="H9" s="7"/>
      <c r="I9" s="7"/>
      <c r="J9" s="16">
        <v>2019</v>
      </c>
      <c r="K9" s="16">
        <v>2020</v>
      </c>
      <c r="L9" s="16">
        <v>2021</v>
      </c>
      <c r="M9" s="16">
        <v>2022</v>
      </c>
      <c r="N9" s="16">
        <v>2023</v>
      </c>
      <c r="O9" s="20">
        <v>2023</v>
      </c>
      <c r="P9" s="20">
        <v>2024</v>
      </c>
      <c r="Q9" s="20">
        <v>2025</v>
      </c>
      <c r="R9" s="20">
        <v>2026</v>
      </c>
      <c r="S9" s="20">
        <v>2027</v>
      </c>
    </row>
    <row r="10" spans="3:19" x14ac:dyDescent="0.25">
      <c r="C10" s="7"/>
      <c r="D10" s="7" t="s">
        <v>43</v>
      </c>
      <c r="E10" s="7"/>
      <c r="F10" s="7"/>
      <c r="G10" s="7"/>
      <c r="H10" s="7"/>
      <c r="I10" s="7"/>
      <c r="J10" s="7">
        <v>364</v>
      </c>
      <c r="K10" s="7">
        <v>364</v>
      </c>
      <c r="L10" s="7">
        <v>364</v>
      </c>
      <c r="M10" s="7">
        <v>364</v>
      </c>
      <c r="N10" s="7">
        <v>364</v>
      </c>
      <c r="O10" s="10">
        <v>364</v>
      </c>
      <c r="P10" s="10">
        <v>364</v>
      </c>
      <c r="Q10" s="10">
        <v>364</v>
      </c>
      <c r="R10" s="10">
        <v>364</v>
      </c>
      <c r="S10" s="10">
        <v>364</v>
      </c>
    </row>
    <row r="11" spans="3:19" x14ac:dyDescent="0.25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10"/>
      <c r="P11" s="10"/>
      <c r="Q11" s="10"/>
      <c r="R11" s="10"/>
      <c r="S11" s="10"/>
    </row>
    <row r="15" spans="3:19" x14ac:dyDescent="0.25">
      <c r="D15" s="1" t="s">
        <v>44</v>
      </c>
      <c r="H15" s="1" t="s">
        <v>45</v>
      </c>
    </row>
    <row r="18" spans="4:20" ht="16.5" thickBot="1" x14ac:dyDescent="0.3">
      <c r="D18" s="44" t="s">
        <v>128</v>
      </c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</row>
    <row r="19" spans="4:20" ht="15.75" thickTop="1" x14ac:dyDescent="0.25">
      <c r="D19" t="s">
        <v>131</v>
      </c>
      <c r="J19" s="46">
        <f>SOFP!I23/IS!I17*IS!I8</f>
        <v>39.381425662310399</v>
      </c>
      <c r="K19" s="46">
        <v>0</v>
      </c>
      <c r="L19" s="46">
        <v>0</v>
      </c>
      <c r="M19" s="46">
        <v>0</v>
      </c>
      <c r="N19" s="46">
        <v>0</v>
      </c>
      <c r="O19" s="46">
        <f>AVERAGE(K19:N19)</f>
        <v>0</v>
      </c>
      <c r="P19" s="46">
        <f t="shared" ref="P19:S19" si="0">AVERAGE(K19:O19)</f>
        <v>0</v>
      </c>
      <c r="Q19" s="46">
        <f t="shared" si="0"/>
        <v>0</v>
      </c>
      <c r="R19" s="46">
        <f t="shared" si="0"/>
        <v>0</v>
      </c>
      <c r="S19" s="46">
        <f t="shared" si="0"/>
        <v>0</v>
      </c>
      <c r="T19" s="46"/>
    </row>
    <row r="20" spans="4:20" x14ac:dyDescent="0.25">
      <c r="D20" t="s">
        <v>132</v>
      </c>
      <c r="J20" s="46">
        <f>-(SOFP!I22/IS!I18*IS!I8)</f>
        <v>39.758290271564015</v>
      </c>
      <c r="K20" s="46">
        <v>0</v>
      </c>
      <c r="L20" s="46">
        <v>0</v>
      </c>
      <c r="M20" s="46">
        <v>0</v>
      </c>
      <c r="N20" s="46">
        <v>0</v>
      </c>
      <c r="O20" s="46">
        <f>AVERAGE(K20:N20)</f>
        <v>0</v>
      </c>
      <c r="P20" s="46">
        <f>AVERAGE(K20:O20)</f>
        <v>0</v>
      </c>
      <c r="Q20" s="46">
        <f t="shared" ref="Q20:S20" si="1">AVERAGE(L20:P20)</f>
        <v>0</v>
      </c>
      <c r="R20" s="46">
        <f t="shared" si="1"/>
        <v>0</v>
      </c>
      <c r="S20" s="46">
        <f t="shared" si="1"/>
        <v>0</v>
      </c>
    </row>
    <row r="21" spans="4:20" x14ac:dyDescent="0.25">
      <c r="D21" t="s">
        <v>133</v>
      </c>
      <c r="J21" s="46">
        <f>-(SOFP!I34/IS!I18*IS!I8)</f>
        <v>2.8583486269568086</v>
      </c>
      <c r="K21" s="46">
        <v>0</v>
      </c>
      <c r="L21" s="46">
        <v>0</v>
      </c>
      <c r="M21" s="46">
        <v>0</v>
      </c>
      <c r="N21" s="46">
        <v>0</v>
      </c>
      <c r="O21" s="46">
        <f>AVERAGE(K21:N21)</f>
        <v>0</v>
      </c>
      <c r="P21" s="46">
        <f>AVERAGE(K21:O21)</f>
        <v>0</v>
      </c>
      <c r="Q21" s="46">
        <f t="shared" ref="Q21:S21" si="2">AVERAGE(L21:P21)</f>
        <v>0</v>
      </c>
      <c r="R21" s="46">
        <f t="shared" si="2"/>
        <v>0</v>
      </c>
      <c r="S21" s="46">
        <f t="shared" si="2"/>
        <v>0</v>
      </c>
    </row>
    <row r="22" spans="4:20" x14ac:dyDescent="0.25">
      <c r="D22" t="s">
        <v>130</v>
      </c>
      <c r="J22" s="46">
        <f>J19+J20</f>
        <v>79.139715933874413</v>
      </c>
      <c r="K22" s="46">
        <v>0</v>
      </c>
      <c r="L22" s="46">
        <v>0</v>
      </c>
      <c r="M22" s="46">
        <v>0</v>
      </c>
      <c r="N22" s="46">
        <v>0</v>
      </c>
      <c r="O22" s="46">
        <f t="shared" ref="O22:O23" si="3">AVERAGE(K22:N22)</f>
        <v>0</v>
      </c>
      <c r="P22" s="46">
        <f>AVERAGE(K22:O22)</f>
        <v>0</v>
      </c>
      <c r="Q22" s="46">
        <f t="shared" ref="Q22:S22" si="4">AVERAGE(L22:P22)</f>
        <v>0</v>
      </c>
      <c r="R22" s="46">
        <f t="shared" si="4"/>
        <v>0</v>
      </c>
      <c r="S22" s="46">
        <f t="shared" si="4"/>
        <v>0</v>
      </c>
    </row>
    <row r="23" spans="4:20" x14ac:dyDescent="0.25">
      <c r="D23" t="s">
        <v>129</v>
      </c>
      <c r="J23" s="46">
        <f>J22-J21</f>
        <v>76.281367306917602</v>
      </c>
      <c r="K23" s="46">
        <v>0</v>
      </c>
      <c r="L23" s="46">
        <v>0</v>
      </c>
      <c r="M23" s="46">
        <v>0</v>
      </c>
      <c r="N23" s="46">
        <v>0</v>
      </c>
      <c r="O23" s="46">
        <f t="shared" si="3"/>
        <v>0</v>
      </c>
      <c r="P23" s="46">
        <f>AVERAGE(K23:O23)</f>
        <v>0</v>
      </c>
      <c r="Q23" s="46">
        <f t="shared" ref="Q23:S23" si="5">AVERAGE(L23:P23)</f>
        <v>0</v>
      </c>
      <c r="R23" s="46">
        <f t="shared" si="5"/>
        <v>0</v>
      </c>
      <c r="S23" s="46">
        <f t="shared" si="5"/>
        <v>0</v>
      </c>
      <c r="T23" s="46"/>
    </row>
    <row r="24" spans="4:20" x14ac:dyDescent="0.25">
      <c r="K24" s="46"/>
      <c r="L24" s="46"/>
      <c r="M24" s="46"/>
      <c r="N24" s="46"/>
    </row>
    <row r="26" spans="4:20" ht="16.5" thickBot="1" x14ac:dyDescent="0.3">
      <c r="D26" s="44" t="s">
        <v>134</v>
      </c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</row>
    <row r="27" spans="4:20" ht="15.75" thickTop="1" x14ac:dyDescent="0.25">
      <c r="D27" t="s">
        <v>135</v>
      </c>
      <c r="J27" s="39">
        <f>-(IS!I19/IS!I17)</f>
        <v>0.14932663287275766</v>
      </c>
      <c r="K27" s="39">
        <v>0</v>
      </c>
      <c r="L27" s="39">
        <v>0</v>
      </c>
      <c r="M27" s="39">
        <v>0</v>
      </c>
      <c r="N27" s="39">
        <v>0</v>
      </c>
      <c r="O27" s="39">
        <f>AVERAGE($K27:$N27)</f>
        <v>0</v>
      </c>
      <c r="P27" s="39">
        <f t="shared" ref="P27:S29" si="6">AVERAGE($K27:$N27)</f>
        <v>0</v>
      </c>
      <c r="Q27" s="39">
        <f t="shared" si="6"/>
        <v>0</v>
      </c>
      <c r="R27" s="39">
        <f t="shared" si="6"/>
        <v>0</v>
      </c>
      <c r="S27" s="39">
        <f t="shared" si="6"/>
        <v>0</v>
      </c>
    </row>
    <row r="28" spans="4:20" x14ac:dyDescent="0.25">
      <c r="D28" t="s">
        <v>136</v>
      </c>
      <c r="J28" s="39">
        <f>-(IS!I25/IS!I17)</f>
        <v>0.37833949756265889</v>
      </c>
      <c r="K28" s="39">
        <v>0</v>
      </c>
      <c r="L28" s="39">
        <v>0</v>
      </c>
      <c r="M28" s="39">
        <v>0</v>
      </c>
      <c r="N28" s="39">
        <v>0</v>
      </c>
      <c r="O28" s="39">
        <f t="shared" ref="O28:O29" si="7">AVERAGE($K28:$N28)</f>
        <v>0</v>
      </c>
      <c r="P28" s="39">
        <f t="shared" si="6"/>
        <v>0</v>
      </c>
      <c r="Q28" s="39">
        <f t="shared" si="6"/>
        <v>0</v>
      </c>
      <c r="R28" s="39">
        <f t="shared" si="6"/>
        <v>0</v>
      </c>
      <c r="S28" s="39">
        <f t="shared" si="6"/>
        <v>0</v>
      </c>
    </row>
    <row r="29" spans="4:20" x14ac:dyDescent="0.25">
      <c r="D29" t="s">
        <v>137</v>
      </c>
      <c r="J29" s="39">
        <f>-(IS!I31/IS!I17)</f>
        <v>0.41003708257799248</v>
      </c>
      <c r="K29" s="39">
        <v>0</v>
      </c>
      <c r="L29" s="39">
        <v>0</v>
      </c>
      <c r="M29" s="39">
        <v>0</v>
      </c>
      <c r="N29" s="39">
        <v>0</v>
      </c>
      <c r="O29" s="39">
        <f t="shared" si="7"/>
        <v>0</v>
      </c>
      <c r="P29" s="39">
        <f t="shared" si="6"/>
        <v>0</v>
      </c>
      <c r="Q29" s="39">
        <f t="shared" si="6"/>
        <v>0</v>
      </c>
      <c r="R29" s="39">
        <f t="shared" si="6"/>
        <v>0</v>
      </c>
      <c r="S29" s="39">
        <f t="shared" si="6"/>
        <v>0</v>
      </c>
    </row>
    <row r="30" spans="4:20" x14ac:dyDescent="0.25">
      <c r="D30" t="s">
        <v>138</v>
      </c>
      <c r="J30" s="39">
        <f>-(IS!I25/SOFP!I30)</f>
        <v>5.0751929943742981E-2</v>
      </c>
      <c r="K30" s="39">
        <f>(IS!J25/SOFP!J30)</f>
        <v>-0.10213233466071334</v>
      </c>
      <c r="L30" s="39">
        <f>(IS!K25/SOFP!K30)</f>
        <v>-3.3083273824811861E-2</v>
      </c>
      <c r="M30" s="39">
        <f>(IS!L25/SOFP!L30)</f>
        <v>-3.4215225498972039E-2</v>
      </c>
      <c r="N30" s="39">
        <f>(IS!M25/SOFP!M30)</f>
        <v>-3.4215225498972039E-2</v>
      </c>
      <c r="O30" s="39">
        <f>AVERAGE($J30:$N30)</f>
        <v>-3.0578825907945261E-2</v>
      </c>
      <c r="P30" s="39">
        <f t="shared" ref="P30:S31" si="8">AVERAGE($J30:$N30)</f>
        <v>-3.0578825907945261E-2</v>
      </c>
      <c r="Q30" s="39">
        <f t="shared" si="8"/>
        <v>-3.0578825907945261E-2</v>
      </c>
      <c r="R30" s="39">
        <f t="shared" si="8"/>
        <v>-3.0578825907945261E-2</v>
      </c>
      <c r="S30" s="39">
        <f t="shared" si="8"/>
        <v>-3.0578825907945261E-2</v>
      </c>
    </row>
    <row r="31" spans="4:20" x14ac:dyDescent="0.25">
      <c r="D31" t="s">
        <v>139</v>
      </c>
      <c r="J31" s="39">
        <f>-(IS!I31/SOFP!I47)</f>
        <v>5.6837159731901718E-2</v>
      </c>
      <c r="K31" s="39">
        <f>(IS!J31/SOFP!J47)</f>
        <v>-0.10589670119099238</v>
      </c>
      <c r="L31" s="39">
        <f>(IS!K31/SOFP!K47)</f>
        <v>-3.4344527207912E-2</v>
      </c>
      <c r="M31" s="39">
        <f>(IS!L31/SOFP!L47)</f>
        <v>-3.5566025539738859E-2</v>
      </c>
      <c r="N31" s="39">
        <f>(IS!M31/SOFP!M47)</f>
        <v>-3.5566025539738859E-2</v>
      </c>
      <c r="O31" s="39">
        <f>AVERAGE($J31:$N31)</f>
        <v>-3.090722394929608E-2</v>
      </c>
      <c r="P31" s="39">
        <f t="shared" si="8"/>
        <v>-3.090722394929608E-2</v>
      </c>
      <c r="Q31" s="39">
        <f t="shared" si="8"/>
        <v>-3.090722394929608E-2</v>
      </c>
      <c r="R31" s="39">
        <f t="shared" si="8"/>
        <v>-3.090722394929608E-2</v>
      </c>
      <c r="S31" s="39">
        <f t="shared" si="8"/>
        <v>-3.090722394929608E-2</v>
      </c>
    </row>
    <row r="33" spans="4:19" ht="16.5" thickBot="1" x14ac:dyDescent="0.3">
      <c r="D33" s="44" t="s">
        <v>140</v>
      </c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</row>
    <row r="34" spans="4:19" ht="15.75" thickTop="1" x14ac:dyDescent="0.25">
      <c r="D34" t="s">
        <v>141</v>
      </c>
      <c r="J34" s="47">
        <f>SOFP!I21/SOFP!I36</f>
        <v>0.15480374926772114</v>
      </c>
      <c r="K34" s="47">
        <f>SOFP!J21/SOFP!J36</f>
        <v>0.15480374926772114</v>
      </c>
      <c r="L34" s="47">
        <f>SOFP!K21/SOFP!K36</f>
        <v>0.15480374926772114</v>
      </c>
      <c r="M34" s="47">
        <f>SOFP!L21/SOFP!L36</f>
        <v>0.15480374926772114</v>
      </c>
      <c r="N34" s="47">
        <f>SOFP!M21/SOFP!M36</f>
        <v>0.15480374926772114</v>
      </c>
      <c r="O34" s="47">
        <f>AVERAGE($J34:$N34)</f>
        <v>0.15480374926772114</v>
      </c>
      <c r="P34" s="47">
        <f t="shared" ref="P34:S36" si="9">AVERAGE($J34:$N34)</f>
        <v>0.15480374926772114</v>
      </c>
      <c r="Q34" s="47">
        <f t="shared" si="9"/>
        <v>0.15480374926772114</v>
      </c>
      <c r="R34" s="47">
        <f t="shared" si="9"/>
        <v>0.15480374926772114</v>
      </c>
      <c r="S34" s="47">
        <f t="shared" si="9"/>
        <v>0.15480374926772114</v>
      </c>
    </row>
    <row r="35" spans="4:19" x14ac:dyDescent="0.25">
      <c r="D35" t="s">
        <v>142</v>
      </c>
      <c r="J35" s="47">
        <f>(SOFP!I24-SOFP!I22)/SOFP!I36</f>
        <v>3.4150556531927356</v>
      </c>
      <c r="K35" s="47">
        <f>(SOFP!J24-SOFP!J22)/SOFP!J36</f>
        <v>3.4150556531927356</v>
      </c>
      <c r="L35" s="47">
        <f>(SOFP!K24-SOFP!K22)/SOFP!K36</f>
        <v>3.4150556531927356</v>
      </c>
      <c r="M35" s="47">
        <f>(SOFP!L24-SOFP!L22)/SOFP!L36</f>
        <v>3.4150556531927356</v>
      </c>
      <c r="N35" s="47">
        <f>(SOFP!M24-SOFP!M22)/SOFP!M36</f>
        <v>3.4150556531927356</v>
      </c>
      <c r="O35" s="47">
        <f t="shared" ref="O35:O36" si="10">AVERAGE($J35:$N35)</f>
        <v>3.4150556531927356</v>
      </c>
      <c r="P35" s="47">
        <f t="shared" si="9"/>
        <v>3.4150556531927356</v>
      </c>
      <c r="Q35" s="47">
        <f t="shared" si="9"/>
        <v>3.4150556531927356</v>
      </c>
      <c r="R35" s="47">
        <f t="shared" si="9"/>
        <v>3.4150556531927356</v>
      </c>
      <c r="S35" s="47">
        <f t="shared" si="9"/>
        <v>3.4150556531927356</v>
      </c>
    </row>
    <row r="36" spans="4:19" x14ac:dyDescent="0.25">
      <c r="D36" t="s">
        <v>143</v>
      </c>
      <c r="J36" s="47">
        <f>SOFP!I24/SOFP!I36</f>
        <v>7.1980082015231401</v>
      </c>
      <c r="K36" s="47">
        <f>SOFP!J24/SOFP!J36</f>
        <v>7.1980082015231401</v>
      </c>
      <c r="L36" s="47">
        <f>SOFP!K24/SOFP!K36</f>
        <v>7.1980082015231401</v>
      </c>
      <c r="M36" s="47">
        <f>SOFP!L24/SOFP!L36</f>
        <v>7.1980082015231401</v>
      </c>
      <c r="N36" s="47">
        <f>SOFP!M24/SOFP!M36</f>
        <v>7.1980082015231401</v>
      </c>
      <c r="O36" s="47">
        <f t="shared" si="10"/>
        <v>7.1980082015231401</v>
      </c>
      <c r="P36" s="47">
        <f t="shared" si="9"/>
        <v>7.1980082015231401</v>
      </c>
      <c r="Q36" s="47">
        <f t="shared" si="9"/>
        <v>7.1980082015231401</v>
      </c>
      <c r="R36" s="47">
        <f t="shared" si="9"/>
        <v>7.1980082015231401</v>
      </c>
      <c r="S36" s="47">
        <f t="shared" si="9"/>
        <v>7.1980082015231401</v>
      </c>
    </row>
    <row r="38" spans="4:19" ht="16.5" thickBot="1" x14ac:dyDescent="0.3">
      <c r="D38" s="44" t="s">
        <v>144</v>
      </c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</row>
    <row r="39" spans="4:19" ht="15.75" thickTop="1" x14ac:dyDescent="0.25">
      <c r="D39" t="s">
        <v>145</v>
      </c>
      <c r="J39" s="39">
        <f>SOFP!I39/SOFP!I47</f>
        <v>2.8728473350170879E-2</v>
      </c>
      <c r="K39" s="39">
        <f>SOFP!J39/SOFP!J47</f>
        <v>3.1770723908207316E-2</v>
      </c>
      <c r="L39" s="39">
        <f>SOFP!K39/SOFP!K47</f>
        <v>3.2861874399887803E-2</v>
      </c>
      <c r="M39" s="39">
        <f>SOFP!L39/SOFP!L47</f>
        <v>3.4030640664077898E-2</v>
      </c>
      <c r="N39" s="39">
        <f>SOFP!M39/SOFP!M47</f>
        <v>3.4030640664077898E-2</v>
      </c>
      <c r="O39" s="39">
        <f t="shared" ref="O39:S40" si="11">AVERAGE($J39:$N39)</f>
        <v>3.2284470597284357E-2</v>
      </c>
      <c r="P39" s="39">
        <f t="shared" si="11"/>
        <v>3.2284470597284357E-2</v>
      </c>
      <c r="Q39" s="39">
        <f t="shared" si="11"/>
        <v>3.2284470597284357E-2</v>
      </c>
      <c r="R39" s="39">
        <f t="shared" si="11"/>
        <v>3.2284470597284357E-2</v>
      </c>
      <c r="S39" s="39">
        <f t="shared" si="11"/>
        <v>3.2284470597284357E-2</v>
      </c>
    </row>
    <row r="40" spans="4:19" x14ac:dyDescent="0.25">
      <c r="D40" t="s">
        <v>146</v>
      </c>
      <c r="J40" s="39">
        <f>SOFP!I39/(SOFP!I30-SOFP!I36)</f>
        <v>2.7926196362207559E-2</v>
      </c>
      <c r="K40" s="39">
        <f>SOFP!J39/(SOFP!J30-SOFP!J36)</f>
        <v>3.0792426235805692E-2</v>
      </c>
      <c r="L40" s="39">
        <f>SOFP!K39/(SOFP!K30-SOFP!K36)</f>
        <v>3.1816330154485727E-2</v>
      </c>
      <c r="M40" s="39">
        <f>SOFP!L39/(SOFP!L30-SOFP!L36)</f>
        <v>3.2910669496430636E-2</v>
      </c>
      <c r="N40" s="39">
        <f>SOFP!M39/(SOFP!M30-SOFP!M36)</f>
        <v>3.2910669496430636E-2</v>
      </c>
      <c r="O40" s="39">
        <f t="shared" si="11"/>
        <v>3.1271258349072052E-2</v>
      </c>
      <c r="P40" s="39">
        <f t="shared" si="11"/>
        <v>3.1271258349072052E-2</v>
      </c>
      <c r="Q40" s="39">
        <f t="shared" si="11"/>
        <v>3.1271258349072052E-2</v>
      </c>
      <c r="R40" s="39">
        <f t="shared" si="11"/>
        <v>3.1271258349072052E-2</v>
      </c>
      <c r="S40" s="39">
        <f t="shared" si="11"/>
        <v>3.1271258349072052E-2</v>
      </c>
    </row>
    <row r="41" spans="4:19" x14ac:dyDescent="0.25">
      <c r="D41" t="s">
        <v>147</v>
      </c>
      <c r="J41" s="39">
        <f>-(IS!I27/SOFP!I39)</f>
        <v>0.14939968108057405</v>
      </c>
      <c r="K41" s="39">
        <f>-(IS!J27/SOFP!J39)</f>
        <v>0</v>
      </c>
      <c r="L41" s="39">
        <f>-(IS!K27/SOFP!K39)</f>
        <v>0</v>
      </c>
      <c r="M41" s="39">
        <f>-(IS!L27/SOFP!L39)</f>
        <v>0</v>
      </c>
      <c r="N41" s="39">
        <f>-(IS!M27/SOFP!M39)</f>
        <v>0</v>
      </c>
      <c r="O41" s="39">
        <f t="shared" ref="O41:S41" si="12">AVERAGE(K41:N41)</f>
        <v>0</v>
      </c>
      <c r="P41" s="39">
        <f t="shared" si="12"/>
        <v>0</v>
      </c>
      <c r="Q41" s="39">
        <f t="shared" si="12"/>
        <v>0</v>
      </c>
      <c r="R41" s="39">
        <f t="shared" si="12"/>
        <v>0</v>
      </c>
      <c r="S41" s="39">
        <f t="shared" si="12"/>
        <v>0</v>
      </c>
    </row>
  </sheetData>
  <hyperlinks>
    <hyperlink ref="R4" location="'Model Guide'!A1" display="MODEL GUIDE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6:V70"/>
  <sheetViews>
    <sheetView showGridLines="0" topLeftCell="C10" zoomScale="71" zoomScaleNormal="100" workbookViewId="0">
      <selection activeCell="M73" sqref="M73"/>
    </sheetView>
  </sheetViews>
  <sheetFormatPr defaultRowHeight="15" x14ac:dyDescent="0.25"/>
  <cols>
    <col min="11" max="11" width="15.140625" customWidth="1"/>
    <col min="12" max="12" width="16" bestFit="1" customWidth="1"/>
    <col min="13" max="13" width="15.140625" bestFit="1" customWidth="1"/>
    <col min="14" max="22" width="10.140625" bestFit="1" customWidth="1"/>
  </cols>
  <sheetData>
    <row r="6" spans="6:22" x14ac:dyDescent="0.25"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10"/>
      <c r="S6" s="10"/>
      <c r="T6" s="10"/>
      <c r="U6" s="10"/>
      <c r="V6" s="10"/>
    </row>
    <row r="7" spans="6:22" ht="26.25" x14ac:dyDescent="0.4">
      <c r="F7" s="7"/>
      <c r="G7" s="18" t="s">
        <v>1</v>
      </c>
      <c r="H7" s="7"/>
      <c r="I7" s="7"/>
      <c r="J7" s="7"/>
      <c r="K7" s="7"/>
      <c r="L7" s="7"/>
      <c r="M7" s="7"/>
      <c r="N7" s="7"/>
      <c r="O7" s="7"/>
      <c r="P7" s="7"/>
      <c r="Q7" s="7"/>
      <c r="R7" s="10"/>
      <c r="S7" s="10"/>
      <c r="T7" s="10"/>
      <c r="U7" s="10"/>
      <c r="V7" s="10"/>
    </row>
    <row r="8" spans="6:22" x14ac:dyDescent="0.25">
      <c r="F8" s="7"/>
      <c r="G8" s="7" t="s">
        <v>40</v>
      </c>
      <c r="H8" s="7"/>
      <c r="I8" s="7"/>
      <c r="J8" s="7"/>
      <c r="K8" s="7"/>
      <c r="L8" s="7"/>
      <c r="M8" s="13">
        <v>43466</v>
      </c>
      <c r="N8" s="13">
        <v>43831</v>
      </c>
      <c r="O8" s="13">
        <v>44197</v>
      </c>
      <c r="P8" s="13">
        <v>44562</v>
      </c>
      <c r="Q8" s="13">
        <v>44927</v>
      </c>
      <c r="R8" s="19">
        <v>45292</v>
      </c>
      <c r="S8" s="19">
        <v>45658</v>
      </c>
      <c r="T8" s="19">
        <v>46023</v>
      </c>
      <c r="U8" s="19">
        <v>46388</v>
      </c>
      <c r="V8" s="19">
        <v>46753</v>
      </c>
    </row>
    <row r="9" spans="6:22" x14ac:dyDescent="0.25">
      <c r="F9" s="7"/>
      <c r="G9" s="7" t="s">
        <v>41</v>
      </c>
      <c r="H9" s="7"/>
      <c r="I9" s="7"/>
      <c r="J9" s="7"/>
      <c r="K9" s="7"/>
      <c r="L9" s="13">
        <v>43465</v>
      </c>
      <c r="M9" s="13">
        <v>43830</v>
      </c>
      <c r="N9" s="13">
        <v>44196</v>
      </c>
      <c r="O9" s="13">
        <v>44561</v>
      </c>
      <c r="P9" s="13">
        <v>44926</v>
      </c>
      <c r="Q9" s="13">
        <v>45291</v>
      </c>
      <c r="R9" s="19">
        <v>45657</v>
      </c>
      <c r="S9" s="19">
        <v>46022</v>
      </c>
      <c r="T9" s="19">
        <v>46387</v>
      </c>
      <c r="U9" s="19">
        <v>46752</v>
      </c>
      <c r="V9" s="19">
        <v>47118</v>
      </c>
    </row>
    <row r="10" spans="6:22" x14ac:dyDescent="0.25">
      <c r="F10" s="7"/>
      <c r="G10" s="7" t="s">
        <v>42</v>
      </c>
      <c r="H10" s="7"/>
      <c r="I10" s="7"/>
      <c r="J10" s="7"/>
      <c r="K10" s="7"/>
      <c r="L10" s="7"/>
      <c r="M10" s="16">
        <v>2019</v>
      </c>
      <c r="N10" s="16">
        <v>2020</v>
      </c>
      <c r="O10" s="16">
        <v>2021</v>
      </c>
      <c r="P10" s="16">
        <v>2022</v>
      </c>
      <c r="Q10" s="16">
        <v>2023</v>
      </c>
      <c r="R10" s="20">
        <v>2023</v>
      </c>
      <c r="S10" s="20">
        <v>2024</v>
      </c>
      <c r="T10" s="20">
        <v>2025</v>
      </c>
      <c r="U10" s="20">
        <v>2026</v>
      </c>
      <c r="V10" s="20">
        <v>2027</v>
      </c>
    </row>
    <row r="11" spans="6:22" x14ac:dyDescent="0.25">
      <c r="F11" s="7"/>
      <c r="G11" s="7" t="s">
        <v>43</v>
      </c>
      <c r="H11" s="7"/>
      <c r="I11" s="7"/>
      <c r="J11" s="7"/>
      <c r="K11" s="7"/>
      <c r="L11" s="7"/>
      <c r="M11" s="7">
        <v>364</v>
      </c>
      <c r="N11" s="7">
        <v>364</v>
      </c>
      <c r="O11" s="7">
        <v>364</v>
      </c>
      <c r="P11" s="7">
        <v>364</v>
      </c>
      <c r="Q11" s="7">
        <v>364</v>
      </c>
      <c r="R11" s="10">
        <v>364</v>
      </c>
      <c r="S11" s="10">
        <v>364</v>
      </c>
      <c r="T11" s="10">
        <v>364</v>
      </c>
      <c r="U11" s="10">
        <v>364</v>
      </c>
      <c r="V11" s="10">
        <v>364</v>
      </c>
    </row>
    <row r="12" spans="6:22" x14ac:dyDescent="0.25"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10"/>
      <c r="S12" s="10"/>
      <c r="T12" s="10"/>
      <c r="U12" s="10"/>
      <c r="V12" s="10"/>
    </row>
    <row r="17" spans="6:11" x14ac:dyDescent="0.25">
      <c r="F17" s="1" t="s">
        <v>195</v>
      </c>
    </row>
    <row r="19" spans="6:11" x14ac:dyDescent="0.25">
      <c r="F19" s="1" t="s">
        <v>196</v>
      </c>
      <c r="I19" s="76"/>
    </row>
    <row r="20" spans="6:11" x14ac:dyDescent="0.25">
      <c r="F20" t="s">
        <v>197</v>
      </c>
      <c r="I20" s="76" t="s">
        <v>208</v>
      </c>
      <c r="K20" s="67">
        <v>0.16800000000000001</v>
      </c>
    </row>
    <row r="21" spans="6:11" x14ac:dyDescent="0.25">
      <c r="F21" t="s">
        <v>198</v>
      </c>
      <c r="I21" s="76" t="s">
        <v>209</v>
      </c>
      <c r="K21">
        <v>0.98</v>
      </c>
    </row>
    <row r="22" spans="6:11" ht="15.75" thickBot="1" x14ac:dyDescent="0.3">
      <c r="F22" t="s">
        <v>199</v>
      </c>
      <c r="I22" s="76" t="s">
        <v>208</v>
      </c>
      <c r="K22" s="67">
        <v>0.05</v>
      </c>
    </row>
    <row r="23" spans="6:11" ht="15.75" thickTop="1" x14ac:dyDescent="0.25">
      <c r="F23" s="34" t="s">
        <v>200</v>
      </c>
      <c r="G23" s="25"/>
      <c r="H23" s="25"/>
      <c r="I23" s="76" t="s">
        <v>208</v>
      </c>
      <c r="J23" s="25"/>
      <c r="K23" s="78">
        <f>K20+(K21*K22)</f>
        <v>0.21700000000000003</v>
      </c>
    </row>
    <row r="24" spans="6:11" x14ac:dyDescent="0.25">
      <c r="I24" s="76"/>
    </row>
    <row r="25" spans="6:11" x14ac:dyDescent="0.25">
      <c r="F25" s="1" t="s">
        <v>201</v>
      </c>
      <c r="I25" s="76"/>
    </row>
    <row r="26" spans="6:11" x14ac:dyDescent="0.25">
      <c r="F26" t="s">
        <v>202</v>
      </c>
      <c r="I26" s="76" t="s">
        <v>208</v>
      </c>
      <c r="K26" s="67">
        <v>0.32</v>
      </c>
    </row>
    <row r="27" spans="6:11" ht="15.75" thickBot="1" x14ac:dyDescent="0.3">
      <c r="F27" s="23" t="s">
        <v>203</v>
      </c>
      <c r="I27" s="76" t="s">
        <v>208</v>
      </c>
      <c r="K27" s="67">
        <v>0.27</v>
      </c>
    </row>
    <row r="28" spans="6:11" ht="15.75" thickTop="1" x14ac:dyDescent="0.25">
      <c r="F28" s="34" t="s">
        <v>201</v>
      </c>
      <c r="G28" s="25"/>
      <c r="H28" s="25"/>
      <c r="I28" s="77" t="s">
        <v>208</v>
      </c>
      <c r="J28" s="25"/>
      <c r="K28" s="67">
        <f>K26*(1-K27)</f>
        <v>0.2336</v>
      </c>
    </row>
    <row r="29" spans="6:11" x14ac:dyDescent="0.25">
      <c r="I29" s="76"/>
      <c r="K29" s="67"/>
    </row>
    <row r="30" spans="6:11" x14ac:dyDescent="0.25">
      <c r="F30" s="1" t="s">
        <v>204</v>
      </c>
      <c r="I30" s="76"/>
      <c r="K30" s="67"/>
    </row>
    <row r="31" spans="6:11" x14ac:dyDescent="0.25">
      <c r="F31" t="s">
        <v>206</v>
      </c>
      <c r="I31" s="76" t="s">
        <v>208</v>
      </c>
      <c r="K31" s="67">
        <f>SOFP!I39/SOFP!I47</f>
        <v>2.8728473350170879E-2</v>
      </c>
    </row>
    <row r="32" spans="6:11" x14ac:dyDescent="0.25">
      <c r="F32" t="s">
        <v>205</v>
      </c>
      <c r="I32" s="76" t="s">
        <v>208</v>
      </c>
      <c r="K32" s="67">
        <f>(1-K31)</f>
        <v>0.97127152664982908</v>
      </c>
    </row>
    <row r="33" spans="6:22" x14ac:dyDescent="0.25">
      <c r="I33" s="76"/>
      <c r="K33" s="67"/>
    </row>
    <row r="34" spans="6:22" x14ac:dyDescent="0.25">
      <c r="F34" s="1" t="s">
        <v>207</v>
      </c>
      <c r="I34" s="76" t="s">
        <v>208</v>
      </c>
      <c r="K34" s="79">
        <f>(K23*K32)+(K28*K31)</f>
        <v>0.21747689265761286</v>
      </c>
    </row>
    <row r="35" spans="6:22" x14ac:dyDescent="0.25">
      <c r="I35" s="76"/>
      <c r="K35" s="67"/>
    </row>
    <row r="36" spans="6:22" x14ac:dyDescent="0.25">
      <c r="F36" t="s">
        <v>210</v>
      </c>
      <c r="I36" s="76"/>
      <c r="K36" s="67">
        <v>0.02</v>
      </c>
    </row>
    <row r="37" spans="6:22" x14ac:dyDescent="0.25">
      <c r="F37" t="s">
        <v>211</v>
      </c>
      <c r="I37" s="81"/>
      <c r="K37" s="82">
        <v>1079860</v>
      </c>
      <c r="L37" s="83"/>
      <c r="M37" s="82"/>
    </row>
    <row r="38" spans="6:22" x14ac:dyDescent="0.25">
      <c r="F38" t="s">
        <v>212</v>
      </c>
      <c r="I38" s="76"/>
      <c r="K38" s="80">
        <v>4.08</v>
      </c>
    </row>
    <row r="39" spans="6:22" x14ac:dyDescent="0.25">
      <c r="F39" t="s">
        <v>213</v>
      </c>
      <c r="I39" s="76"/>
      <c r="K39" s="84">
        <v>4405828.8</v>
      </c>
      <c r="L39" s="83"/>
      <c r="M39" s="82"/>
    </row>
    <row r="40" spans="6:22" x14ac:dyDescent="0.25">
      <c r="I40" s="86"/>
      <c r="K40" s="67"/>
    </row>
    <row r="41" spans="6:22" x14ac:dyDescent="0.25">
      <c r="I41" s="58" t="s">
        <v>214</v>
      </c>
      <c r="K41" s="67"/>
    </row>
    <row r="42" spans="6:22" x14ac:dyDescent="0.25">
      <c r="I42" s="86" t="s">
        <v>91</v>
      </c>
      <c r="K42" s="67"/>
      <c r="R42" s="22">
        <f>IS!N25</f>
        <v>-44568</v>
      </c>
      <c r="S42" s="22">
        <f>IS!O25</f>
        <v>-44568</v>
      </c>
      <c r="T42" s="22">
        <f>IS!P25</f>
        <v>-88269.49731931671</v>
      </c>
      <c r="U42" s="22">
        <f ca="1">IS!Q25</f>
        <v>-44568</v>
      </c>
      <c r="V42" s="22">
        <f ca="1">IS!R25</f>
        <v>-44568</v>
      </c>
    </row>
    <row r="43" spans="6:22" ht="15.75" thickBot="1" x14ac:dyDescent="0.3">
      <c r="I43" s="86" t="s">
        <v>215</v>
      </c>
      <c r="K43" s="67"/>
      <c r="R43" s="42">
        <f>IS!N30</f>
        <v>0</v>
      </c>
      <c r="S43" s="42">
        <f>IS!O30</f>
        <v>0</v>
      </c>
      <c r="T43" s="42">
        <f>IS!P30</f>
        <v>0</v>
      </c>
      <c r="U43" s="42">
        <f>IS!Q30</f>
        <v>0</v>
      </c>
      <c r="V43" s="42">
        <f>IS!R30</f>
        <v>0</v>
      </c>
    </row>
    <row r="44" spans="6:22" ht="15.75" thickTop="1" x14ac:dyDescent="0.25">
      <c r="I44" s="87" t="s">
        <v>216</v>
      </c>
      <c r="J44" s="34"/>
      <c r="K44" s="88"/>
      <c r="L44" s="34"/>
      <c r="M44" s="34"/>
      <c r="N44" s="34"/>
      <c r="O44" s="34"/>
      <c r="P44" s="34"/>
      <c r="Q44" s="34"/>
      <c r="R44" s="27">
        <f>R42+R43</f>
        <v>-44568</v>
      </c>
      <c r="S44" s="27">
        <f t="shared" ref="S44:V44" si="0">S42+S43</f>
        <v>-44568</v>
      </c>
      <c r="T44" s="27">
        <f t="shared" si="0"/>
        <v>-88269.49731931671</v>
      </c>
      <c r="U44" s="27">
        <f t="shared" ca="1" si="0"/>
        <v>-44568</v>
      </c>
      <c r="V44" s="27">
        <f t="shared" ca="1" si="0"/>
        <v>-44568</v>
      </c>
    </row>
    <row r="45" spans="6:22" x14ac:dyDescent="0.25">
      <c r="I45" s="86" t="s">
        <v>167</v>
      </c>
      <c r="K45" s="67"/>
      <c r="R45" s="22">
        <f>SOCF!N18</f>
        <v>0</v>
      </c>
      <c r="S45" s="22">
        <f>SOCF!O18</f>
        <v>0</v>
      </c>
      <c r="T45" s="22">
        <f>SOCF!P18</f>
        <v>43701.49731931671</v>
      </c>
      <c r="U45" s="22">
        <f ca="1">SOCF!Q18</f>
        <v>0</v>
      </c>
      <c r="V45" s="22">
        <f ca="1">SOCF!R18</f>
        <v>0</v>
      </c>
    </row>
    <row r="46" spans="6:22" x14ac:dyDescent="0.25">
      <c r="I46" s="86" t="s">
        <v>217</v>
      </c>
      <c r="K46" s="67"/>
      <c r="R46" s="22">
        <f>'Assumptions and Drivers'!N86</f>
        <v>-2</v>
      </c>
      <c r="S46" s="22">
        <f>'Assumptions and Drivers'!O86</f>
        <v>-0.40000000000145519</v>
      </c>
      <c r="T46" s="22">
        <f>'Assumptions and Drivers'!P86</f>
        <v>-0.27999999999883585</v>
      </c>
      <c r="U46" s="22">
        <f>'Assumptions and Drivers'!Q86</f>
        <v>-0.13599999999860302</v>
      </c>
      <c r="V46" s="22">
        <f>'Assumptions and Drivers'!R86</f>
        <v>3.6800000001676381E-2</v>
      </c>
    </row>
    <row r="47" spans="6:22" ht="15.75" thickBot="1" x14ac:dyDescent="0.3">
      <c r="I47" s="86" t="s">
        <v>218</v>
      </c>
      <c r="K47" s="67"/>
      <c r="R47" s="22">
        <f>SOCF!N25</f>
        <v>0</v>
      </c>
      <c r="S47" s="22">
        <f>SOCF!O25</f>
        <v>0</v>
      </c>
      <c r="T47" s="22">
        <f>SOCF!P25</f>
        <v>-131104.49195795011</v>
      </c>
      <c r="U47" s="22">
        <f ca="1">SOCF!Q25</f>
        <v>0</v>
      </c>
      <c r="V47" s="22">
        <f ca="1">SOCF!R25</f>
        <v>0</v>
      </c>
    </row>
    <row r="48" spans="6:22" ht="15.75" thickTop="1" x14ac:dyDescent="0.25">
      <c r="I48" s="87" t="s">
        <v>219</v>
      </c>
      <c r="J48" s="34"/>
      <c r="K48" s="88"/>
      <c r="L48" s="34"/>
      <c r="M48" s="34"/>
      <c r="N48" s="34"/>
      <c r="O48" s="34"/>
      <c r="P48" s="34"/>
      <c r="Q48" s="34"/>
      <c r="R48" s="27">
        <f>R44+R45+R46-R47</f>
        <v>-44570</v>
      </c>
      <c r="S48" s="27">
        <f t="shared" ref="S48:V48" si="1">S44+S45+S46-S47</f>
        <v>-44568.4</v>
      </c>
      <c r="T48" s="27">
        <f t="shared" si="1"/>
        <v>86536.211957950116</v>
      </c>
      <c r="U48" s="27">
        <f t="shared" ca="1" si="1"/>
        <v>-44570</v>
      </c>
      <c r="V48" s="27">
        <f t="shared" ca="1" si="1"/>
        <v>-44570</v>
      </c>
    </row>
    <row r="49" spans="7:22" x14ac:dyDescent="0.25">
      <c r="I49" s="86"/>
      <c r="K49" s="67"/>
    </row>
    <row r="50" spans="7:22" x14ac:dyDescent="0.25">
      <c r="I50" s="85"/>
      <c r="K50" s="67"/>
    </row>
    <row r="51" spans="7:22" x14ac:dyDescent="0.25">
      <c r="I51" s="89" t="s">
        <v>220</v>
      </c>
      <c r="K51" s="67"/>
      <c r="R51">
        <v>1</v>
      </c>
      <c r="S51">
        <v>2</v>
      </c>
      <c r="T51">
        <v>3</v>
      </c>
      <c r="U51">
        <v>4</v>
      </c>
      <c r="V51">
        <v>5</v>
      </c>
    </row>
    <row r="52" spans="7:22" ht="15.75" thickBot="1" x14ac:dyDescent="0.3">
      <c r="I52" s="89" t="s">
        <v>221</v>
      </c>
      <c r="K52" s="67"/>
      <c r="R52" s="91">
        <f>(1+$K$34)^-R51</f>
        <v>0.82137082521304716</v>
      </c>
      <c r="S52" s="91">
        <f>(1+$K$34)^-S51</f>
        <v>0.67465003251116207</v>
      </c>
      <c r="T52" s="91">
        <f t="shared" ref="T52:V52" si="2">(1+$K$34)^-T51</f>
        <v>0.5541378539337023</v>
      </c>
      <c r="U52" s="91">
        <f t="shared" si="2"/>
        <v>0.45515266636731205</v>
      </c>
      <c r="V52" s="91">
        <f t="shared" si="2"/>
        <v>0.37384912117203783</v>
      </c>
    </row>
    <row r="53" spans="7:22" ht="15.75" thickTop="1" x14ac:dyDescent="0.25">
      <c r="I53" s="90" t="s">
        <v>222</v>
      </c>
      <c r="J53" s="25"/>
      <c r="K53" s="78"/>
      <c r="L53" s="25"/>
      <c r="M53" s="25"/>
      <c r="N53" s="25"/>
      <c r="O53" s="25"/>
      <c r="P53" s="25"/>
      <c r="Q53" s="25"/>
      <c r="R53" s="28">
        <f>R48*R52</f>
        <v>-36608.497679745509</v>
      </c>
      <c r="S53" s="28">
        <f t="shared" ref="S53:V53" si="3">S48*S52</f>
        <v>-30068.072508970476</v>
      </c>
      <c r="T53" s="28">
        <f t="shared" si="3"/>
        <v>47952.990781930464</v>
      </c>
      <c r="U53" s="28">
        <f t="shared" ca="1" si="3"/>
        <v>-36608.497679745509</v>
      </c>
      <c r="V53" s="28">
        <f t="shared" ca="1" si="3"/>
        <v>-36608.497679745509</v>
      </c>
    </row>
    <row r="54" spans="7:22" x14ac:dyDescent="0.25">
      <c r="I54" s="76"/>
    </row>
    <row r="55" spans="7:22" x14ac:dyDescent="0.25">
      <c r="I55" s="76"/>
    </row>
    <row r="56" spans="7:22" x14ac:dyDescent="0.25">
      <c r="I56" s="76"/>
    </row>
    <row r="57" spans="7:22" ht="15.75" thickBot="1" x14ac:dyDescent="0.3">
      <c r="I57" s="76"/>
    </row>
    <row r="58" spans="7:22" ht="15.75" thickBot="1" x14ac:dyDescent="0.3">
      <c r="G58" s="92" t="s">
        <v>223</v>
      </c>
      <c r="H58" s="92"/>
      <c r="I58" s="93"/>
      <c r="J58" s="92"/>
      <c r="K58" s="94">
        <f ca="1">SUM(R53:V53)</f>
        <v>0</v>
      </c>
      <c r="L58" s="1"/>
    </row>
    <row r="59" spans="7:22" ht="15.75" thickTop="1" x14ac:dyDescent="0.25">
      <c r="I59" s="76"/>
    </row>
    <row r="60" spans="7:22" x14ac:dyDescent="0.25">
      <c r="I60" s="76"/>
    </row>
    <row r="61" spans="7:22" x14ac:dyDescent="0.25">
      <c r="G61" s="1" t="s">
        <v>224</v>
      </c>
      <c r="I61" s="76"/>
    </row>
    <row r="62" spans="7:22" x14ac:dyDescent="0.25">
      <c r="G62" t="s">
        <v>219</v>
      </c>
      <c r="K62" s="22">
        <f ca="1">V48</f>
        <v>0</v>
      </c>
    </row>
    <row r="63" spans="7:22" x14ac:dyDescent="0.25">
      <c r="G63" t="s">
        <v>225</v>
      </c>
      <c r="K63" s="68">
        <f>K36</f>
        <v>0.02</v>
      </c>
    </row>
    <row r="64" spans="7:22" ht="15.75" thickBot="1" x14ac:dyDescent="0.3">
      <c r="G64" t="s">
        <v>207</v>
      </c>
      <c r="K64" s="68">
        <f>K34</f>
        <v>0.21747689265761286</v>
      </c>
    </row>
    <row r="65" spans="7:11" x14ac:dyDescent="0.25">
      <c r="G65" s="62" t="s">
        <v>224</v>
      </c>
      <c r="H65" s="62"/>
      <c r="I65" s="62"/>
      <c r="J65" s="62"/>
      <c r="K65" s="62">
        <f ca="1">(K62*(1+K63))/(K64-K63)</f>
        <v>0</v>
      </c>
    </row>
    <row r="66" spans="7:11" x14ac:dyDescent="0.25">
      <c r="G66" s="1" t="s">
        <v>226</v>
      </c>
      <c r="K66" s="95">
        <f ca="1">NPV(V52,K65)</f>
        <v>0</v>
      </c>
    </row>
    <row r="67" spans="7:11" x14ac:dyDescent="0.25">
      <c r="G67" t="s">
        <v>227</v>
      </c>
    </row>
    <row r="69" spans="7:11" x14ac:dyDescent="0.25">
      <c r="G69" t="s">
        <v>228</v>
      </c>
    </row>
    <row r="70" spans="7:11" x14ac:dyDescent="0.25">
      <c r="G70" t="s">
        <v>229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"/>
  <sheetViews>
    <sheetView showGridLines="0" topLeftCell="A5" workbookViewId="0">
      <selection activeCell="C9" sqref="C9"/>
    </sheetView>
  </sheetViews>
  <sheetFormatPr defaultRowHeight="15" x14ac:dyDescent="0.25"/>
  <sheetData>
    <row r="8" spans="3:3" x14ac:dyDescent="0.25">
      <c r="C8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 Page </vt:lpstr>
      <vt:lpstr>Model Guide</vt:lpstr>
      <vt:lpstr>Historical Data</vt:lpstr>
      <vt:lpstr>Assumptions and Drivers</vt:lpstr>
      <vt:lpstr>IS</vt:lpstr>
      <vt:lpstr>SOFP</vt:lpstr>
      <vt:lpstr>SOCF</vt:lpstr>
      <vt:lpstr>Charts and Graphs </vt:lpstr>
      <vt:lpstr>Financial Analysis</vt:lpstr>
      <vt:lpstr>Valuation</vt:lpstr>
      <vt:lpstr>Personal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2026-01-06T21:54:22Z</dcterms:created>
  <dcterms:modified xsi:type="dcterms:W3CDTF">2026-07-24T10:03:57Z</dcterms:modified>
  <cp:contentStatus/>
</cp:coreProperties>
</file>